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8205" tabRatio="672"/>
  </bookViews>
  <sheets>
    <sheet name="2025.0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<sst xmlns="http://schemas.openxmlformats.org/spreadsheetml/2006/main" count="29" uniqueCount="29">
  <si>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2025年1月侯马热电收耗存数据</t>
  </si>
  <si>
    <t>日期</t>
  </si>
  <si>
    <t>焦煤</t>
  </si>
  <si>
    <t>临汾</t>
  </si>
  <si>
    <t>太原煤气化</t>
  </si>
  <si>
    <t>朔州煤电</t>
  </si>
  <si>
    <t>朔州公司</t>
  </si>
  <si>
    <t>晋城公司</t>
  </si>
  <si>
    <t>合计来煤
（吨）</t>
  </si>
  <si>
    <t>皮带秤消耗（吨）</t>
  </si>
  <si>
    <t>库存（吨）</t>
  </si>
  <si>
    <t>备注</t>
  </si>
  <si>
    <t>金辛达(G)
1-1</t>
  </si>
  <si>
    <t>昊兴塬(G)
1-1</t>
  </si>
  <si>
    <t>晋牛(G)
1-1</t>
  </si>
  <si>
    <t>三交河(G)
1-1</t>
  </si>
  <si>
    <t>雪坪(G)
1-1</t>
  </si>
  <si>
    <t>富康源(G)
1-1</t>
  </si>
  <si>
    <t>华泓（G）
1-1</t>
  </si>
  <si>
    <t>山凹（G）
1-1</t>
  </si>
  <si>
    <t>龙泉（T）
1-1</t>
  </si>
  <si>
    <t>炉峪（T）
1-1</t>
  </si>
  <si>
    <t>小峪（T）
10-1</t>
  </si>
  <si>
    <t>小峪（T）
11-1</t>
  </si>
  <si>
    <t>莲盛（T）
12-1</t>
  </si>
  <si>
    <t>四明山（G）
1-1</t>
  </si>
  <si>
    <t>野川（G）
1-1</t>
  </si>
  <si>
    <t>野川（G）
12-1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</si>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</sst>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6"/>
      <name val="Microsoft YaHei"/>
      <charset val="134"/>
    </font>
    <font>
      <b/>
      <sz val="11"/>
      <name val="Microsoft YaHei"/>
      <charset val="134"/>
    </font>
    <font>
      <sz val="10"/>
      <color indexed="8"/>
      <name val="Microsoft YaHei"/>
      <charset val="134"/>
    </font>
    <font>
      <sz val="10"/>
      <name val="Microsoft YaHei"/>
      <charset val="134"/>
    </font>
    <font>
      <b/>
      <sz val="10"/>
      <name val="Microsoft YaHei"/>
      <charset val="134"/>
    </font>
    <font>
      <b/>
      <sz val="11"/>
      <color rgb="FF000000"/>
      <name val="Microsoft YaHei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6" applyNumberFormat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4" borderId="6" applyNumberFormat="0" applyAlignment="0" applyProtection="0">
      <alignment vertical="center"/>
    </xf>
    <xf numFmtId="0" fontId="23" fillId="5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4" fillId="0" borderId="0" xfId="0" applyNumberFormat="1" applyFont="1" applyFill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 wrapText="1"/>
    </xf>
    <xf numFmtId="176" fontId="7" fillId="0" borderId="1" xfId="0" applyNumberFormat="1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6" fontId="9" fillId="0" borderId="2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EC35"/>
  <sheetViews>
    <sheetView tabSelected="1" zoomScale="90" zoomScaleNormal="90" topLeftCell="D1" workbookViewId="0">
      <pane ySplit="3" topLeftCell="A4" activePane="bottomLeft" state="frozen"/>
      <selection/>
      <selection pane="bottomLeft" activeCell="N39" sqref="N39"/>
    </sheetView>
  </sheetViews>
  <sheetFormatPr defaultColWidth="9.64601769911504" defaultRowHeight="13.5"/>
  <cols>
    <col min="1" max="1" width="12.8672566371681" style="4" customWidth="1"/>
    <col min="2" max="9" width="10.5221238938053" style="4" customWidth="1"/>
    <col min="10" max="10" width="12" style="4" customWidth="1"/>
    <col min="11" max="11" width="10.5221238938053" style="4" customWidth="1"/>
    <col min="12" max="17" width="12.3185840707965" style="4" customWidth="1"/>
    <col min="18" max="19" width="12.8672566371681" style="4" customWidth="1"/>
    <col min="20" max="20" width="14.8318584070796" style="4" customWidth="1"/>
    <col min="21" max="21" width="8.93805309734513" style="4" customWidth="1"/>
    <col min="22" max="16347" width="8.93805309734513" style="4"/>
    <col min="16348" max="16356" width="9.69026548672566" style="4"/>
    <col min="16357" max="16374" width="9.67256637168142" style="4"/>
  </cols>
  <sheetData>
    <row r="1" s="1" customFormat="1" ht="34" customHeight="1" spans="1:2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="2" customFormat="1" ht="30" customHeight="1" spans="1:16357">
      <c r="A2" s="6" t="s">
        <v>1</v>
      </c>
      <c r="B2" s="6" t="s">
        <v>2</v>
      </c>
      <c r="C2" s="6"/>
      <c r="D2" s="6"/>
      <c r="E2" s="6"/>
      <c r="F2" s="6"/>
      <c r="G2" s="6" t="s">
        <v>3</v>
      </c>
      <c r="H2" s="6" t="s">
        <v>4</v>
      </c>
      <c r="I2" s="6"/>
      <c r="J2" s="6"/>
      <c r="K2" s="6"/>
      <c r="L2" s="6" t="s">
        <v>5</v>
      </c>
      <c r="M2" s="6"/>
      <c r="N2" s="6" t="s">
        <v>6</v>
      </c>
      <c r="O2" s="6" t="s">
        <v>7</v>
      </c>
      <c r="P2" s="6"/>
      <c r="Q2" s="6"/>
      <c r="R2" s="6" t="s">
        <v>8</v>
      </c>
      <c r="S2" s="6" t="s">
        <v>9</v>
      </c>
      <c r="T2" s="10" t="s">
        <v>10</v>
      </c>
      <c r="U2" s="10" t="s">
        <v>11</v>
      </c>
      <c r="XDT2" s="14"/>
      <c r="XDU2" s="14"/>
      <c r="XDV2" s="14"/>
      <c r="XDW2" s="14"/>
      <c r="XDX2" s="14"/>
      <c r="XDY2" s="14"/>
      <c r="XDZ2" s="14"/>
      <c r="XEA2" s="14"/>
      <c r="XEB2" s="14"/>
      <c r="XEC2" s="14"/>
    </row>
    <row r="3" s="2" customFormat="1" ht="39" customHeight="1" spans="1:16357">
      <c r="A3" s="6"/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6" t="s">
        <v>20</v>
      </c>
      <c r="K3" s="6" t="s">
        <v>21</v>
      </c>
      <c r="L3" s="6" t="s">
        <v>22</v>
      </c>
      <c r="M3" s="6" t="s">
        <v>23</v>
      </c>
      <c r="N3" s="6" t="s">
        <v>24</v>
      </c>
      <c r="O3" s="6" t="s">
        <v>25</v>
      </c>
      <c r="P3" s="6" t="s">
        <v>26</v>
      </c>
      <c r="Q3" s="6" t="s">
        <v>27</v>
      </c>
      <c r="R3" s="6"/>
      <c r="S3" s="6"/>
      <c r="T3" s="11">
        <v>145977.24</v>
      </c>
      <c r="U3" s="10"/>
      <c r="XDT3" s="14"/>
      <c r="XDU3" s="14"/>
      <c r="XDV3" s="14"/>
      <c r="XDW3" s="14"/>
      <c r="XDX3" s="14"/>
      <c r="XDY3" s="14"/>
      <c r="XDZ3" s="14"/>
      <c r="XEA3" s="14"/>
      <c r="XEB3" s="14"/>
      <c r="XEC3" s="14"/>
    </row>
    <row r="4" s="3" customFormat="1" ht="27" customHeight="1" spans="1:16357">
      <c r="A4" s="7">
        <v>45658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>
        <v>266.44</v>
      </c>
      <c r="R4" s="12">
        <f>SUM(B4:Q4)</f>
        <v>266.44</v>
      </c>
      <c r="S4" s="13">
        <v>7099</v>
      </c>
      <c r="T4" s="8">
        <f>T3+R4-S4</f>
        <v>139144.68</v>
      </c>
      <c r="U4" s="13"/>
      <c r="XDT4" s="15"/>
      <c r="XDU4" s="15"/>
      <c r="XDV4" s="15"/>
      <c r="XDW4" s="15"/>
      <c r="XDX4" s="15"/>
      <c r="XDY4" s="15"/>
      <c r="XDZ4" s="15"/>
      <c r="XEA4" s="15"/>
      <c r="XEB4" s="15"/>
      <c r="XEC4" s="15"/>
    </row>
    <row r="5" s="3" customFormat="1" ht="27" customHeight="1" spans="1:16357">
      <c r="A5" s="7">
        <v>45659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12">
        <f>SUM(B5:Q5)</f>
        <v>0</v>
      </c>
      <c r="S5" s="13">
        <v>7340</v>
      </c>
      <c r="T5" s="8">
        <f>T4+R5-S5</f>
        <v>131804.68</v>
      </c>
      <c r="U5" s="13"/>
      <c r="XDT5" s="15"/>
      <c r="XDU5" s="15"/>
      <c r="XDV5" s="15"/>
      <c r="XDW5" s="15"/>
      <c r="XDX5" s="15"/>
      <c r="XDY5" s="15"/>
      <c r="XDZ5" s="15"/>
      <c r="XEA5" s="15"/>
      <c r="XEB5" s="15"/>
      <c r="XEC5" s="15"/>
    </row>
    <row r="6" s="3" customFormat="1" ht="27" customHeight="1" spans="1:16357">
      <c r="A6" s="7">
        <v>45660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12">
        <f>SUM(B6:Q6)</f>
        <v>0</v>
      </c>
      <c r="S6" s="13">
        <v>6698</v>
      </c>
      <c r="T6" s="8">
        <f>T5+R6-S6</f>
        <v>125106.68</v>
      </c>
      <c r="U6" s="13"/>
      <c r="XDT6" s="15"/>
      <c r="XDU6" s="15"/>
      <c r="XDV6" s="15"/>
      <c r="XDW6" s="15"/>
      <c r="XDX6" s="15"/>
      <c r="XDY6" s="15"/>
      <c r="XDZ6" s="15"/>
      <c r="XEA6" s="15"/>
      <c r="XEB6" s="15"/>
      <c r="XEC6" s="15"/>
    </row>
    <row r="7" s="3" customFormat="1" ht="27" customHeight="1" spans="1:16357">
      <c r="A7" s="7">
        <v>45661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2">
        <f>SUM(B7:Q7)</f>
        <v>0</v>
      </c>
      <c r="S7" s="13">
        <v>6882</v>
      </c>
      <c r="T7" s="8">
        <f t="shared" ref="T7:T13" si="0">T6+R7-S7</f>
        <v>118224.68</v>
      </c>
      <c r="U7" s="13"/>
      <c r="XDT7" s="15"/>
      <c r="XDU7" s="15"/>
      <c r="XDV7" s="15"/>
      <c r="XDW7" s="15"/>
      <c r="XDX7" s="15"/>
      <c r="XDY7" s="15"/>
      <c r="XDZ7" s="15"/>
      <c r="XEA7" s="15"/>
      <c r="XEB7" s="15"/>
      <c r="XEC7" s="15"/>
    </row>
    <row r="8" s="3" customFormat="1" ht="27" customHeight="1" spans="1:16357">
      <c r="A8" s="7">
        <v>45662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2">
        <f t="shared" ref="R8:R35" si="1">SUM(B8:Q8)</f>
        <v>0</v>
      </c>
      <c r="S8" s="13">
        <v>6691</v>
      </c>
      <c r="T8" s="8">
        <f t="shared" si="0"/>
        <v>111533.68</v>
      </c>
      <c r="U8" s="13"/>
      <c r="XDT8" s="15"/>
      <c r="XDU8" s="15"/>
      <c r="XDV8" s="15"/>
      <c r="XDW8" s="15"/>
      <c r="XDX8" s="15"/>
      <c r="XDY8" s="15"/>
      <c r="XDZ8" s="15"/>
      <c r="XEA8" s="15"/>
      <c r="XEB8" s="15"/>
      <c r="XEC8" s="15"/>
    </row>
    <row r="9" s="3" customFormat="1" ht="27" customHeight="1" spans="1:16357">
      <c r="A9" s="7">
        <v>45663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2">
        <f t="shared" si="1"/>
        <v>0</v>
      </c>
      <c r="S9" s="13">
        <v>6321</v>
      </c>
      <c r="T9" s="8">
        <f t="shared" si="0"/>
        <v>105212.68</v>
      </c>
      <c r="U9" s="13"/>
      <c r="XDT9" s="15"/>
      <c r="XDU9" s="15"/>
      <c r="XDV9" s="15"/>
      <c r="XDW9" s="15"/>
      <c r="XDX9" s="15"/>
      <c r="XDY9" s="15"/>
      <c r="XDZ9" s="15"/>
      <c r="XEA9" s="15"/>
      <c r="XEB9" s="15"/>
      <c r="XEC9" s="15"/>
    </row>
    <row r="10" s="3" customFormat="1" ht="27" customHeight="1" spans="1:16357">
      <c r="A10" s="7">
        <v>45664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>
        <v>2898.14</v>
      </c>
      <c r="O10" s="8"/>
      <c r="P10" s="8"/>
      <c r="Q10" s="8"/>
      <c r="R10" s="12">
        <f t="shared" si="1"/>
        <v>2898.14</v>
      </c>
      <c r="S10" s="13">
        <v>6369</v>
      </c>
      <c r="T10" s="8">
        <f t="shared" si="0"/>
        <v>101741.82</v>
      </c>
      <c r="U10" s="13"/>
      <c r="V10" s="3"/>
      <c r="XDT10" s="15"/>
      <c r="XDU10" s="15"/>
      <c r="XDV10" s="15"/>
      <c r="XDW10" s="15"/>
      <c r="XDX10" s="15"/>
      <c r="XDY10" s="15"/>
      <c r="XDZ10" s="15"/>
      <c r="XEA10" s="15"/>
      <c r="XEB10" s="15"/>
      <c r="XEC10" s="15"/>
    </row>
    <row r="11" s="3" customFormat="1" ht="27" customHeight="1" spans="1:16357">
      <c r="A11" s="7">
        <v>45665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>
        <v>3653.88</v>
      </c>
      <c r="O11" s="8"/>
      <c r="P11" s="8"/>
      <c r="Q11" s="8"/>
      <c r="R11" s="12">
        <f t="shared" si="1"/>
        <v>3653.88</v>
      </c>
      <c r="S11" s="13">
        <v>7050</v>
      </c>
      <c r="T11" s="8">
        <f t="shared" si="0"/>
        <v>98345.7</v>
      </c>
      <c r="U11" s="13"/>
      <c r="V11" s="3"/>
      <c r="XDT11" s="15"/>
      <c r="XDU11" s="15"/>
      <c r="XDV11" s="15"/>
      <c r="XDW11" s="15"/>
      <c r="XDX11" s="15"/>
      <c r="XDY11" s="15"/>
      <c r="XDZ11" s="15"/>
      <c r="XEA11" s="15"/>
      <c r="XEB11" s="15"/>
      <c r="XEC11" s="15"/>
    </row>
    <row r="12" s="3" customFormat="1" ht="27" customHeight="1" spans="1:16357">
      <c r="A12" s="7">
        <v>45666</v>
      </c>
      <c r="B12" s="8"/>
      <c r="C12" s="8"/>
      <c r="D12" s="8"/>
      <c r="E12" s="8"/>
      <c r="F12" s="8"/>
      <c r="G12" s="8"/>
      <c r="H12" s="8">
        <v>2421.65</v>
      </c>
      <c r="I12" s="8">
        <v>1752.27</v>
      </c>
      <c r="J12" s="8"/>
      <c r="K12" s="8"/>
      <c r="L12" s="8"/>
      <c r="M12" s="8"/>
      <c r="N12" s="8">
        <v>4015.24</v>
      </c>
      <c r="O12" s="8"/>
      <c r="P12" s="8"/>
      <c r="Q12" s="8"/>
      <c r="R12" s="12">
        <f t="shared" si="1"/>
        <v>8189.16</v>
      </c>
      <c r="S12" s="13">
        <v>7808</v>
      </c>
      <c r="T12" s="8">
        <f t="shared" si="0"/>
        <v>98726.86</v>
      </c>
      <c r="U12" s="13"/>
      <c r="V12" s="3"/>
      <c r="XDT12" s="15"/>
      <c r="XDU12" s="15"/>
      <c r="XDV12" s="15"/>
      <c r="XDW12" s="15"/>
      <c r="XDX12" s="15"/>
      <c r="XDY12" s="15"/>
      <c r="XDZ12" s="15"/>
      <c r="XEA12" s="15"/>
      <c r="XEB12" s="15"/>
      <c r="XEC12" s="15"/>
    </row>
    <row r="13" s="3" customFormat="1" ht="27" customHeight="1" spans="1:16357">
      <c r="A13" s="7">
        <v>45667</v>
      </c>
      <c r="B13" s="8"/>
      <c r="C13" s="8"/>
      <c r="D13" s="8"/>
      <c r="E13" s="8"/>
      <c r="F13" s="8"/>
      <c r="G13" s="8"/>
      <c r="H13" s="8">
        <v>2881.46</v>
      </c>
      <c r="I13" s="8"/>
      <c r="J13" s="8"/>
      <c r="K13" s="8"/>
      <c r="L13" s="8"/>
      <c r="M13" s="8"/>
      <c r="N13" s="8">
        <v>4354.04</v>
      </c>
      <c r="O13" s="8"/>
      <c r="P13" s="8"/>
      <c r="Q13" s="8"/>
      <c r="R13" s="12">
        <f t="shared" si="1"/>
        <v>7235.5</v>
      </c>
      <c r="S13" s="13">
        <v>7208</v>
      </c>
      <c r="T13" s="8">
        <f t="shared" si="0"/>
        <v>98754.36</v>
      </c>
      <c r="U13" s="13"/>
      <c r="V13" s="3"/>
      <c r="XDT13" s="15"/>
      <c r="XDU13" s="15"/>
      <c r="XDV13" s="15"/>
      <c r="XDW13" s="15"/>
      <c r="XDX13" s="15"/>
      <c r="XDY13" s="15"/>
      <c r="XDZ13" s="15"/>
      <c r="XEA13" s="15"/>
      <c r="XEB13" s="15"/>
      <c r="XEC13" s="15"/>
    </row>
    <row r="14" s="3" customFormat="1" ht="27" customHeight="1" spans="1:16357">
      <c r="A14" s="7">
        <v>45668</v>
      </c>
      <c r="B14" s="8"/>
      <c r="C14" s="8"/>
      <c r="D14" s="8"/>
      <c r="E14" s="8"/>
      <c r="F14" s="8">
        <v>980.8</v>
      </c>
      <c r="G14" s="8"/>
      <c r="H14" s="8">
        <v>3185.94</v>
      </c>
      <c r="I14" s="8">
        <v>3789.29</v>
      </c>
      <c r="J14" s="8"/>
      <c r="K14" s="8"/>
      <c r="L14" s="8"/>
      <c r="M14" s="8"/>
      <c r="N14" s="8">
        <v>4492.7</v>
      </c>
      <c r="O14" s="8"/>
      <c r="P14" s="8"/>
      <c r="Q14" s="8"/>
      <c r="R14" s="12">
        <f t="shared" si="1"/>
        <v>12448.73</v>
      </c>
      <c r="S14" s="13">
        <v>6694</v>
      </c>
      <c r="T14" s="8">
        <f t="shared" ref="T8:T35" si="2">T13+R14-S14</f>
        <v>104509.09</v>
      </c>
      <c r="U14" s="13"/>
      <c r="V14" s="3"/>
      <c r="XDT14" s="15"/>
      <c r="XDU14" s="15"/>
      <c r="XDV14" s="15"/>
      <c r="XDW14" s="15"/>
      <c r="XDX14" s="15"/>
      <c r="XDY14" s="15"/>
      <c r="XDZ14" s="15"/>
      <c r="XEA14" s="15"/>
      <c r="XEB14" s="15"/>
      <c r="XEC14" s="15"/>
    </row>
    <row r="15" s="3" customFormat="1" ht="27" customHeight="1" spans="1:16357">
      <c r="A15" s="7">
        <v>45669</v>
      </c>
      <c r="B15" s="8"/>
      <c r="C15" s="8"/>
      <c r="D15" s="8"/>
      <c r="E15" s="8"/>
      <c r="F15" s="8">
        <v>1180.5</v>
      </c>
      <c r="G15" s="8"/>
      <c r="H15" s="8">
        <v>1971.54</v>
      </c>
      <c r="I15" s="8">
        <v>4066.8</v>
      </c>
      <c r="J15" s="8"/>
      <c r="K15" s="8"/>
      <c r="L15" s="8"/>
      <c r="M15" s="8"/>
      <c r="N15" s="8">
        <v>4199.3</v>
      </c>
      <c r="O15" s="8"/>
      <c r="P15" s="8"/>
      <c r="Q15" s="8"/>
      <c r="R15" s="12">
        <f t="shared" si="1"/>
        <v>11418.14</v>
      </c>
      <c r="S15" s="13">
        <v>7278</v>
      </c>
      <c r="T15" s="8">
        <f t="shared" si="2"/>
        <v>108649.23</v>
      </c>
      <c r="U15" s="13"/>
      <c r="V15" s="3"/>
      <c r="XDT15" s="15"/>
      <c r="XDU15" s="15"/>
      <c r="XDV15" s="15"/>
      <c r="XDW15" s="15"/>
      <c r="XDX15" s="15"/>
      <c r="XDY15" s="15"/>
      <c r="XDZ15" s="15"/>
      <c r="XEA15" s="15"/>
      <c r="XEB15" s="15"/>
      <c r="XEC15" s="15"/>
    </row>
    <row r="16" s="3" customFormat="1" ht="27" customHeight="1" spans="1:16357">
      <c r="A16" s="7">
        <v>45670</v>
      </c>
      <c r="B16" s="8"/>
      <c r="C16" s="8"/>
      <c r="D16" s="8"/>
      <c r="E16" s="8"/>
      <c r="F16" s="8">
        <v>310.86</v>
      </c>
      <c r="G16" s="8"/>
      <c r="H16" s="8">
        <v>1182</v>
      </c>
      <c r="I16" s="8">
        <v>2788.76</v>
      </c>
      <c r="J16" s="8"/>
      <c r="K16" s="8"/>
      <c r="L16" s="8"/>
      <c r="M16" s="8"/>
      <c r="N16" s="8">
        <v>4484.12</v>
      </c>
      <c r="O16" s="8"/>
      <c r="P16" s="8"/>
      <c r="Q16" s="8"/>
      <c r="R16" s="12">
        <f t="shared" si="1"/>
        <v>8765.74</v>
      </c>
      <c r="S16" s="13">
        <v>7205</v>
      </c>
      <c r="T16" s="8">
        <f t="shared" si="2"/>
        <v>110209.97</v>
      </c>
      <c r="U16" s="13"/>
      <c r="V16" s="3"/>
      <c r="XDT16" s="15"/>
      <c r="XDU16" s="15"/>
      <c r="XDV16" s="15"/>
      <c r="XDW16" s="15"/>
      <c r="XDX16" s="15"/>
      <c r="XDY16" s="15"/>
      <c r="XDZ16" s="15"/>
      <c r="XEA16" s="15"/>
      <c r="XEB16" s="15"/>
      <c r="XEC16" s="15"/>
    </row>
    <row r="17" s="3" customFormat="1" ht="27" customHeight="1" spans="1:16357">
      <c r="A17" s="7">
        <v>45671</v>
      </c>
      <c r="B17" s="8"/>
      <c r="C17" s="8"/>
      <c r="D17" s="8"/>
      <c r="E17" s="8"/>
      <c r="F17" s="8"/>
      <c r="G17" s="8"/>
      <c r="H17" s="8">
        <v>793.7</v>
      </c>
      <c r="I17" s="8"/>
      <c r="J17" s="8"/>
      <c r="K17" s="8"/>
      <c r="L17" s="8"/>
      <c r="M17" s="8"/>
      <c r="N17" s="8">
        <v>5813.88</v>
      </c>
      <c r="O17" s="8"/>
      <c r="P17" s="8"/>
      <c r="Q17" s="8"/>
      <c r="R17" s="12">
        <f t="shared" si="1"/>
        <v>6607.58</v>
      </c>
      <c r="S17" s="13">
        <v>7177</v>
      </c>
      <c r="T17" s="8">
        <f t="shared" si="2"/>
        <v>109640.55</v>
      </c>
      <c r="U17" s="13"/>
      <c r="V17" s="3"/>
      <c r="XDT17" s="15"/>
      <c r="XDU17" s="15"/>
      <c r="XDV17" s="15"/>
      <c r="XDW17" s="15"/>
      <c r="XDX17" s="15"/>
      <c r="XDY17" s="15"/>
      <c r="XDZ17" s="15"/>
      <c r="XEA17" s="15"/>
      <c r="XEB17" s="15"/>
      <c r="XEC17" s="15"/>
    </row>
    <row r="18" s="3" customFormat="1" ht="27" customHeight="1" spans="1:16357">
      <c r="A18" s="7">
        <v>45672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>
        <v>5587.84</v>
      </c>
      <c r="O18" s="8"/>
      <c r="P18" s="8"/>
      <c r="Q18" s="8"/>
      <c r="R18" s="12">
        <f t="shared" si="1"/>
        <v>5587.84</v>
      </c>
      <c r="S18" s="13">
        <v>7577</v>
      </c>
      <c r="T18" s="8">
        <f t="shared" si="2"/>
        <v>107651.39</v>
      </c>
      <c r="U18" s="13"/>
      <c r="V18" s="3"/>
      <c r="XDT18" s="15"/>
      <c r="XDU18" s="15"/>
      <c r="XDV18" s="15"/>
      <c r="XDW18" s="15"/>
      <c r="XDX18" s="15"/>
      <c r="XDY18" s="15"/>
      <c r="XDZ18" s="15"/>
      <c r="XEA18" s="15"/>
      <c r="XEB18" s="15"/>
      <c r="XEC18" s="15"/>
    </row>
    <row r="19" s="3" customFormat="1" ht="27" customHeight="1" spans="1:16357">
      <c r="A19" s="7">
        <v>45673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>
        <v>5477.04</v>
      </c>
      <c r="O19" s="8"/>
      <c r="P19" s="8"/>
      <c r="Q19" s="8"/>
      <c r="R19" s="12">
        <f t="shared" si="1"/>
        <v>5477.04</v>
      </c>
      <c r="S19" s="13">
        <v>7610</v>
      </c>
      <c r="T19" s="8">
        <f t="shared" si="2"/>
        <v>105518.43</v>
      </c>
      <c r="U19" s="13"/>
      <c r="V19" s="3"/>
      <c r="XDT19" s="15"/>
      <c r="XDU19" s="15"/>
      <c r="XDV19" s="15"/>
      <c r="XDW19" s="15"/>
      <c r="XDX19" s="15"/>
      <c r="XDY19" s="15"/>
      <c r="XDZ19" s="15"/>
      <c r="XEA19" s="15"/>
      <c r="XEB19" s="15"/>
      <c r="XEC19" s="15"/>
    </row>
    <row r="20" s="3" customFormat="1" ht="27" customHeight="1" spans="1:16357">
      <c r="A20" s="7">
        <v>45674</v>
      </c>
      <c r="B20" s="8"/>
      <c r="C20" s="8"/>
      <c r="D20" s="8"/>
      <c r="E20" s="8"/>
      <c r="F20" s="8"/>
      <c r="G20" s="8"/>
      <c r="H20" s="8">
        <v>1511.13</v>
      </c>
      <c r="I20" s="8"/>
      <c r="J20" s="8"/>
      <c r="K20" s="8"/>
      <c r="L20" s="8"/>
      <c r="M20" s="8"/>
      <c r="N20" s="8">
        <v>5513.2</v>
      </c>
      <c r="O20" s="8"/>
      <c r="P20" s="8"/>
      <c r="Q20" s="8"/>
      <c r="R20" s="12">
        <f t="shared" si="1"/>
        <v>7024.33</v>
      </c>
      <c r="S20" s="13">
        <v>7880</v>
      </c>
      <c r="T20" s="8">
        <f t="shared" si="2"/>
        <v>104662.76</v>
      </c>
      <c r="U20" s="13"/>
      <c r="V20" s="3"/>
      <c r="XDT20" s="15"/>
      <c r="XDU20" s="15"/>
      <c r="XDV20" s="15"/>
      <c r="XDW20" s="15"/>
      <c r="XDX20" s="15"/>
      <c r="XDY20" s="15"/>
      <c r="XDZ20" s="15"/>
      <c r="XEA20" s="15"/>
      <c r="XEB20" s="15"/>
      <c r="XEC20" s="15"/>
    </row>
    <row r="21" s="3" customFormat="1" ht="27" customHeight="1" spans="1:16357">
      <c r="A21" s="7">
        <v>45675</v>
      </c>
      <c r="B21" s="8"/>
      <c r="C21" s="8"/>
      <c r="D21" s="8"/>
      <c r="E21" s="8">
        <v>1383.64</v>
      </c>
      <c r="F21" s="8"/>
      <c r="G21" s="8"/>
      <c r="H21" s="8">
        <v>1718.9</v>
      </c>
      <c r="I21" s="8"/>
      <c r="J21" s="8"/>
      <c r="K21" s="8"/>
      <c r="L21" s="8"/>
      <c r="M21" s="8"/>
      <c r="N21" s="8">
        <v>5905.76</v>
      </c>
      <c r="O21" s="8"/>
      <c r="P21" s="8"/>
      <c r="Q21" s="8"/>
      <c r="R21" s="12">
        <f t="shared" si="1"/>
        <v>9008.3</v>
      </c>
      <c r="S21" s="13">
        <v>6830</v>
      </c>
      <c r="T21" s="8">
        <f t="shared" si="2"/>
        <v>106841.06</v>
      </c>
      <c r="U21" s="13"/>
      <c r="V21" s="3"/>
      <c r="XDT21" s="15"/>
      <c r="XDU21" s="15"/>
      <c r="XDV21" s="15"/>
      <c r="XDW21" s="15"/>
      <c r="XDX21" s="15"/>
      <c r="XDY21" s="15"/>
      <c r="XDZ21" s="15"/>
      <c r="XEA21" s="15"/>
      <c r="XEB21" s="15"/>
      <c r="XEC21" s="15"/>
    </row>
    <row r="22" s="3" customFormat="1" ht="27" customHeight="1" spans="1:16357">
      <c r="A22" s="7">
        <v>45676</v>
      </c>
      <c r="B22" s="8"/>
      <c r="C22" s="8"/>
      <c r="D22" s="8"/>
      <c r="E22" s="8">
        <v>1119.12</v>
      </c>
      <c r="F22" s="8"/>
      <c r="G22" s="8"/>
      <c r="H22" s="8">
        <v>2079.79</v>
      </c>
      <c r="I22" s="8"/>
      <c r="J22" s="8"/>
      <c r="K22" s="8"/>
      <c r="L22" s="8"/>
      <c r="M22" s="8"/>
      <c r="N22" s="8">
        <v>5876.66</v>
      </c>
      <c r="O22" s="8"/>
      <c r="P22" s="8"/>
      <c r="Q22" s="8"/>
      <c r="R22" s="12">
        <f t="shared" si="1"/>
        <v>9075.57</v>
      </c>
      <c r="S22" s="13">
        <v>7122</v>
      </c>
      <c r="T22" s="8">
        <f t="shared" si="2"/>
        <v>108794.63</v>
      </c>
      <c r="U22" s="13"/>
      <c r="V22" s="3"/>
      <c r="XDT22" s="15"/>
      <c r="XDU22" s="15"/>
      <c r="XDV22" s="15"/>
      <c r="XDW22" s="15"/>
      <c r="XDX22" s="15"/>
      <c r="XDY22" s="15"/>
      <c r="XDZ22" s="15"/>
      <c r="XEA22" s="15"/>
      <c r="XEB22" s="15"/>
      <c r="XEC22" s="15"/>
    </row>
    <row r="23" s="3" customFormat="1" ht="27" customHeight="1" spans="1:16357">
      <c r="A23" s="7">
        <v>45677</v>
      </c>
      <c r="B23" s="8"/>
      <c r="C23" s="8"/>
      <c r="D23" s="8"/>
      <c r="E23" s="8"/>
      <c r="F23" s="8"/>
      <c r="G23" s="8"/>
      <c r="H23" s="8">
        <v>704.7</v>
      </c>
      <c r="I23" s="8"/>
      <c r="J23" s="8"/>
      <c r="K23" s="8"/>
      <c r="L23" s="8"/>
      <c r="M23" s="8"/>
      <c r="N23" s="8">
        <v>5667.16</v>
      </c>
      <c r="O23" s="8"/>
      <c r="P23" s="8"/>
      <c r="Q23" s="8"/>
      <c r="R23" s="12">
        <f t="shared" si="1"/>
        <v>6371.86</v>
      </c>
      <c r="S23" s="13">
        <v>6725</v>
      </c>
      <c r="T23" s="8">
        <f t="shared" si="2"/>
        <v>108441.49</v>
      </c>
      <c r="U23" s="13"/>
      <c r="V23" s="3"/>
      <c r="XDT23" s="15"/>
      <c r="XDU23" s="15"/>
      <c r="XDV23" s="15"/>
      <c r="XDW23" s="15"/>
      <c r="XDX23" s="15"/>
      <c r="XDY23" s="15"/>
      <c r="XDZ23" s="15"/>
      <c r="XEA23" s="15"/>
      <c r="XEB23" s="15"/>
      <c r="XEC23" s="15"/>
    </row>
    <row r="24" s="3" customFormat="1" ht="27" customHeight="1" spans="1:16357">
      <c r="A24" s="7">
        <v>45678</v>
      </c>
      <c r="B24" s="8"/>
      <c r="C24" s="8"/>
      <c r="D24" s="8"/>
      <c r="E24" s="8"/>
      <c r="F24" s="8">
        <v>404.48</v>
      </c>
      <c r="G24" s="8"/>
      <c r="H24" s="8">
        <v>3967.4</v>
      </c>
      <c r="I24" s="8"/>
      <c r="J24" s="8"/>
      <c r="K24" s="8"/>
      <c r="L24" s="8">
        <v>3442.2</v>
      </c>
      <c r="M24" s="8"/>
      <c r="N24" s="8"/>
      <c r="O24" s="8"/>
      <c r="P24" s="8"/>
      <c r="Q24" s="8"/>
      <c r="R24" s="12">
        <f t="shared" si="1"/>
        <v>7814.08</v>
      </c>
      <c r="S24" s="13">
        <v>7399</v>
      </c>
      <c r="T24" s="8">
        <f t="shared" si="2"/>
        <v>108856.57</v>
      </c>
      <c r="U24" s="13"/>
      <c r="V24" s="3"/>
      <c r="XDT24" s="15"/>
      <c r="XDU24" s="15"/>
      <c r="XDV24" s="15"/>
      <c r="XDW24" s="15"/>
      <c r="XDX24" s="15"/>
      <c r="XDY24" s="15"/>
      <c r="XDZ24" s="15"/>
      <c r="XEA24" s="15"/>
      <c r="XEB24" s="15"/>
      <c r="XEC24" s="15"/>
    </row>
    <row r="25" s="3" customFormat="1" ht="27" customHeight="1" spans="1:16357">
      <c r="A25" s="7">
        <v>45679</v>
      </c>
      <c r="B25" s="8"/>
      <c r="C25" s="8"/>
      <c r="D25" s="8"/>
      <c r="E25" s="8"/>
      <c r="F25" s="8"/>
      <c r="G25" s="8"/>
      <c r="H25" s="8">
        <v>2749.5</v>
      </c>
      <c r="I25" s="8"/>
      <c r="J25" s="8"/>
      <c r="K25" s="8"/>
      <c r="L25" s="8"/>
      <c r="M25" s="8">
        <v>3168.64</v>
      </c>
      <c r="N25" s="8">
        <v>2033.54</v>
      </c>
      <c r="O25" s="8"/>
      <c r="P25" s="8"/>
      <c r="Q25" s="8"/>
      <c r="R25" s="12">
        <f t="shared" si="1"/>
        <v>7951.68</v>
      </c>
      <c r="S25" s="13">
        <v>7052</v>
      </c>
      <c r="T25" s="8">
        <f t="shared" si="2"/>
        <v>109756.25</v>
      </c>
      <c r="U25" s="13"/>
      <c r="V25" s="3"/>
      <c r="XDT25" s="15"/>
      <c r="XDU25" s="15"/>
      <c r="XDV25" s="15"/>
      <c r="XDW25" s="15"/>
      <c r="XDX25" s="15"/>
      <c r="XDY25" s="15"/>
      <c r="XDZ25" s="15"/>
      <c r="XEA25" s="15"/>
      <c r="XEB25" s="15"/>
      <c r="XEC25" s="15"/>
    </row>
    <row r="26" s="3" customFormat="1" ht="27" customHeight="1" spans="1:16357">
      <c r="A26" s="7">
        <v>45680</v>
      </c>
      <c r="B26" s="8"/>
      <c r="C26" s="8"/>
      <c r="D26" s="8"/>
      <c r="E26" s="8"/>
      <c r="F26" s="8"/>
      <c r="G26" s="8">
        <v>641.74</v>
      </c>
      <c r="H26" s="8">
        <v>2258.3</v>
      </c>
      <c r="I26" s="8">
        <v>1973.2</v>
      </c>
      <c r="J26" s="8"/>
      <c r="K26" s="8"/>
      <c r="L26" s="8"/>
      <c r="M26" s="8">
        <v>2587.56</v>
      </c>
      <c r="N26" s="8">
        <v>1729.32</v>
      </c>
      <c r="O26" s="8"/>
      <c r="P26" s="8"/>
      <c r="Q26" s="8"/>
      <c r="R26" s="12">
        <f t="shared" si="1"/>
        <v>9190.12</v>
      </c>
      <c r="S26" s="13">
        <v>6536</v>
      </c>
      <c r="T26" s="8">
        <f t="shared" si="2"/>
        <v>112410.37</v>
      </c>
      <c r="U26" s="13"/>
      <c r="XDT26" s="15"/>
      <c r="XDU26" s="15"/>
      <c r="XDV26" s="15"/>
      <c r="XDW26" s="15"/>
      <c r="XDX26" s="15"/>
      <c r="XDY26" s="15"/>
      <c r="XDZ26" s="15"/>
      <c r="XEA26" s="15"/>
      <c r="XEB26" s="15"/>
      <c r="XEC26" s="15"/>
    </row>
    <row r="27" s="3" customFormat="1" ht="27" customHeight="1" spans="1:16357">
      <c r="A27" s="7">
        <v>45681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2">
        <f t="shared" si="1"/>
        <v>0</v>
      </c>
      <c r="S27" s="13"/>
      <c r="T27" s="8">
        <f t="shared" si="2"/>
        <v>112410.37</v>
      </c>
      <c r="U27" s="13"/>
      <c r="XDT27" s="15"/>
      <c r="XDU27" s="15"/>
      <c r="XDV27" s="15"/>
      <c r="XDW27" s="15"/>
      <c r="XDX27" s="15"/>
      <c r="XDY27" s="15"/>
      <c r="XDZ27" s="15"/>
      <c r="XEA27" s="15"/>
      <c r="XEB27" s="15"/>
      <c r="XEC27" s="15"/>
    </row>
    <row r="28" s="3" customFormat="1" ht="27" customHeight="1" spans="1:16357">
      <c r="A28" s="7">
        <v>45682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2">
        <f t="shared" si="1"/>
        <v>0</v>
      </c>
      <c r="S28" s="13"/>
      <c r="T28" s="8">
        <f t="shared" si="2"/>
        <v>112410.37</v>
      </c>
      <c r="U28" s="13"/>
      <c r="XDT28" s="15"/>
      <c r="XDU28" s="15"/>
      <c r="XDV28" s="15"/>
      <c r="XDW28" s="15"/>
      <c r="XDX28" s="15"/>
      <c r="XDY28" s="15"/>
      <c r="XDZ28" s="15"/>
      <c r="XEA28" s="15"/>
      <c r="XEB28" s="15"/>
      <c r="XEC28" s="15"/>
    </row>
    <row r="29" s="3" customFormat="1" ht="27" customHeight="1" spans="1:16357">
      <c r="A29" s="7">
        <v>45683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12">
        <f t="shared" si="1"/>
        <v>0</v>
      </c>
      <c r="S29" s="13"/>
      <c r="T29" s="8">
        <f t="shared" si="2"/>
        <v>112410.37</v>
      </c>
      <c r="U29" s="13"/>
      <c r="XDT29" s="15"/>
      <c r="XDU29" s="15"/>
      <c r="XDV29" s="15"/>
      <c r="XDW29" s="15"/>
      <c r="XDX29" s="15"/>
      <c r="XDY29" s="15"/>
      <c r="XDZ29" s="15"/>
      <c r="XEA29" s="15"/>
      <c r="XEB29" s="15"/>
      <c r="XEC29" s="15"/>
    </row>
    <row r="30" s="3" customFormat="1" ht="27" customHeight="1" spans="1:16357">
      <c r="A30" s="7">
        <v>45684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12">
        <f t="shared" si="1"/>
        <v>0</v>
      </c>
      <c r="S30" s="13"/>
      <c r="T30" s="8">
        <f t="shared" si="2"/>
        <v>112410.37</v>
      </c>
      <c r="U30" s="13"/>
      <c r="XDT30" s="15"/>
      <c r="XDU30" s="15"/>
      <c r="XDV30" s="15"/>
      <c r="XDW30" s="15"/>
      <c r="XDX30" s="15"/>
      <c r="XDY30" s="15"/>
      <c r="XDZ30" s="15"/>
      <c r="XEA30" s="15"/>
      <c r="XEB30" s="15"/>
      <c r="XEC30" s="15"/>
    </row>
    <row r="31" s="3" customFormat="1" ht="27" customHeight="1" spans="1:16357">
      <c r="A31" s="7">
        <v>45685</v>
      </c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12">
        <f t="shared" si="1"/>
        <v>0</v>
      </c>
      <c r="S31" s="13"/>
      <c r="T31" s="8">
        <f t="shared" si="2"/>
        <v>112410.37</v>
      </c>
      <c r="U31" s="13"/>
      <c r="XDT31" s="15"/>
      <c r="XDU31" s="15"/>
      <c r="XDV31" s="15"/>
      <c r="XDW31" s="15"/>
      <c r="XDX31" s="15"/>
      <c r="XDY31" s="15"/>
      <c r="XDZ31" s="15"/>
      <c r="XEA31" s="15"/>
      <c r="XEB31" s="15"/>
      <c r="XEC31" s="15"/>
    </row>
    <row r="32" s="3" customFormat="1" ht="27" customHeight="1" spans="1:16357">
      <c r="A32" s="7">
        <v>45686</v>
      </c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12">
        <f t="shared" si="1"/>
        <v>0</v>
      </c>
      <c r="S32" s="13"/>
      <c r="T32" s="8">
        <f t="shared" si="2"/>
        <v>112410.37</v>
      </c>
      <c r="U32" s="13"/>
      <c r="XDT32" s="15"/>
      <c r="XDU32" s="15"/>
      <c r="XDV32" s="15"/>
      <c r="XDW32" s="15"/>
      <c r="XDX32" s="15"/>
      <c r="XDY32" s="15"/>
      <c r="XDZ32" s="15"/>
      <c r="XEA32" s="15"/>
      <c r="XEB32" s="15"/>
      <c r="XEC32" s="15"/>
    </row>
    <row r="33" s="3" customFormat="1" ht="27" customHeight="1" spans="1:16357">
      <c r="A33" s="7">
        <v>45687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12">
        <f t="shared" si="1"/>
        <v>0</v>
      </c>
      <c r="S33" s="13"/>
      <c r="T33" s="8">
        <f t="shared" si="2"/>
        <v>112410.37</v>
      </c>
      <c r="U33" s="13"/>
      <c r="XDT33" s="15"/>
      <c r="XDU33" s="15"/>
      <c r="XDV33" s="15"/>
      <c r="XDW33" s="15"/>
      <c r="XDX33" s="15"/>
      <c r="XDY33" s="15"/>
      <c r="XDZ33" s="15"/>
      <c r="XEA33" s="15"/>
      <c r="XEB33" s="15"/>
      <c r="XEC33" s="15"/>
    </row>
    <row r="34" s="3" customFormat="1" ht="27" customHeight="1" spans="1:16357">
      <c r="A34" s="7">
        <v>45688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12">
        <f t="shared" si="1"/>
        <v>0</v>
      </c>
      <c r="S34" s="13"/>
      <c r="T34" s="8">
        <f t="shared" si="2"/>
        <v>112410.37</v>
      </c>
      <c r="U34" s="13"/>
      <c r="XDT34" s="15"/>
      <c r="XDU34" s="15"/>
      <c r="XDV34" s="15"/>
      <c r="XDW34" s="15"/>
      <c r="XDX34" s="15"/>
      <c r="XDY34" s="15"/>
      <c r="XDZ34" s="15"/>
      <c r="XEA34" s="15"/>
      <c r="XEB34" s="15"/>
      <c r="XEC34" s="15"/>
    </row>
    <row r="35" s="3" customFormat="1" ht="27" customHeight="1" spans="1:16357">
      <c r="A35" s="9" t="s">
        <v>28</v>
      </c>
      <c r="B35" s="9">
        <f>SUM(B4:B34)</f>
        <v>0</v>
      </c>
      <c r="C35" s="9">
        <f>SUM(C4:C34)</f>
        <v>0</v>
      </c>
      <c r="D35" s="9">
        <f>SUM(D4:D34)</f>
        <v>0</v>
      </c>
      <c r="E35" s="9">
        <f>SUM(E4:E34)</f>
        <v>2502.76</v>
      </c>
      <c r="F35" s="9">
        <f>SUM(F4:F34)</f>
        <v>2876.64</v>
      </c>
      <c r="G35" s="9">
        <f t="shared" ref="G35:N35" si="3">SUM(G4:G34)</f>
        <v>641.74</v>
      </c>
      <c r="H35" s="9">
        <f t="shared" si="3"/>
        <v>27426.01</v>
      </c>
      <c r="I35" s="9">
        <f t="shared" si="3"/>
        <v>14370.32</v>
      </c>
      <c r="J35" s="9">
        <f t="shared" si="3"/>
        <v>0</v>
      </c>
      <c r="K35" s="9">
        <f t="shared" si="3"/>
        <v>0</v>
      </c>
      <c r="L35" s="9">
        <f t="shared" si="3"/>
        <v>3442.2</v>
      </c>
      <c r="M35" s="9">
        <f t="shared" si="3"/>
        <v>5756.2</v>
      </c>
      <c r="N35" s="9">
        <f t="shared" si="3"/>
        <v>71701.82</v>
      </c>
      <c r="O35" s="9">
        <f>SUM(O4:O34)</f>
        <v>0</v>
      </c>
      <c r="P35" s="9">
        <f>SUM(P4:P34)</f>
        <v>0</v>
      </c>
      <c r="Q35" s="9">
        <f>SUM(Q4:Q34)</f>
        <v>266.44</v>
      </c>
      <c r="R35" s="9">
        <f>SUM(R4:R34)</f>
        <v>128984.13</v>
      </c>
      <c r="S35" s="9">
        <f>SUM(S4:S34)</f>
        <v>162551</v>
      </c>
      <c r="T35" s="9"/>
      <c r="U35" s="13"/>
      <c r="XDT35" s="15"/>
      <c r="XDU35" s="15"/>
      <c r="XDV35" s="15"/>
      <c r="XDW35" s="15"/>
      <c r="XDX35" s="15"/>
      <c r="XDY35" s="15"/>
      <c r="XDZ35" s="15"/>
      <c r="XEA35" s="15"/>
      <c r="XEB35" s="15"/>
      <c r="XEC35" s="15"/>
    </row>
  </sheetData>
  <mergeCells count="8">
    <mergeCell ref="A1:U1"/>
    <mergeCell ref="B2:F2"/>
    <mergeCell ref="H2:K2"/>
    <mergeCell ref="L2:M2"/>
    <mergeCell ref="O2:Q2"/>
    <mergeCell ref="A2:A3"/>
    <mergeCell ref="R2:R3"/>
    <mergeCell ref="S2:S3"/>
  </mergeCells>
  <printOptions horizontalCentered="1" verticalCentered="1"/>
  <pageMargins left="0.196527777777778" right="0.196527777777778" top="0.393055555555556" bottom="0.393055555555556" header="0.101388888888889" footer="0"/>
  <pageSetup paperSize="9" scale="5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2025.01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梁晶</dc:creator>
  <cp:lastModifiedBy>ME TOO</cp:lastModifiedBy>
  <dcterms:created xsi:type="dcterms:W3CDTF">2022-08-01T22:45:00Z</dcterms:created>
  <dcterms:modified xsi:type="dcterms:W3CDTF">2025-01-24T00:51:03Z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9E5780B153A055781F020D642C1D235A_33</vt:lpwstr>
  </property>
  <property fmtid="{D5CDD505-2E9C-101B-9397-08002B2CF9AE}" pid="3" name="KSOProductBuildVer">
    <vt:lpwstr>2052-12.1.0.19770</vt:lpwstr>
  </property>
  <property fmtid="{D5CDD505-2E9C-101B-9397-08002B2CF9AE}" pid="4" name="KSOReadingLayout">
    <vt:bool>true</vt:bool>
  </property>
</Properties>
</file>