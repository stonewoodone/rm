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 tabRatio="672"/>
  </bookViews>
  <sheets>
    <sheet name="2025.09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<sst xmlns="http://schemas.openxmlformats.org/spreadsheetml/2006/main" count="31" uniqueCount="31">
  <si>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2025年9月侯马热电收耗存数据</t>
  </si>
  <si>
    <t>日期</t>
  </si>
  <si>
    <t>焦煤</t>
  </si>
  <si>
    <t>地方</t>
  </si>
  <si>
    <t>太原煤气化</t>
  </si>
  <si>
    <t>煤业集团</t>
  </si>
  <si>
    <t>忻州公司</t>
  </si>
  <si>
    <t>轩岗煤电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</si>
  <si>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</si>
  <si>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</si>
  <si>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</si>
  <si>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</si>
  <si>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</si>
  <si>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</si>
  <si>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杜家沟(G)
9-1</t>
  </si>
  <si>
    <t>雪坪(G)
9-1</t>
  </si>
  <si>
    <t>昊兴塬(G)
9-1</t>
  </si>
  <si>
    <t>富康源(G)
9-1</t>
  </si>
  <si>
    <t>炉峪口（T）
9-1</t>
  </si>
  <si>
    <t>龙泉（T）
8-1</t>
  </si>
  <si>
    <t>麻家梁（T）5-1</t>
  </si>
  <si>
    <t>北辛窑（T）7-1</t>
  </si>
  <si>
    <t>北辛窑（T）9-1</t>
  </si>
  <si>
    <t>圣厚源（T）</t>
  </si>
  <si>
    <t>梨园河（T）8-1</t>
  </si>
  <si>
    <t>莲盛（T）
8-1</t>
  </si>
  <si>
    <t>莲盛（T）
9-1</t>
  </si>
  <si>
    <t>石碣峪（T）
9-1</t>
  </si>
  <si>
    <t>盖州（G）</t>
  </si>
  <si>
    <t>野川（G）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</si>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</sst>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DY34"/>
  <sheetViews>
    <sheetView tabSelected="1" zoomScale="90" zoomScaleNormal="90" workbookViewId="0">
      <pane ySplit="3" topLeftCell="A17" activePane="bottomLeft" state="frozen"/>
      <selection/>
      <selection pane="bottomLeft" activeCell="L30" sqref="L30"/>
    </sheetView>
  </sheetViews>
  <sheetFormatPr defaultColWidth="9.64166666666667" defaultRowHeight="13.5"/>
  <cols>
    <col min="1" max="1" width="12.7666666666667" style="4" customWidth="1"/>
    <col min="2" max="3" width="11.8916666666667" style="4" customWidth="1"/>
    <col min="4" max="4" width="11.6583333333333" style="4" customWidth="1"/>
    <col min="5" max="5" width="11.7166666666667" style="4" customWidth="1"/>
    <col min="6" max="7" width="11.8916666666667" style="4" customWidth="1"/>
    <col min="8" max="8" width="11.8916666666667" style="5" customWidth="1"/>
    <col min="9" max="10" width="11.6583333333333" style="5" customWidth="1"/>
    <col min="11" max="11" width="11.8916666666667" style="4" hidden="1" customWidth="1"/>
    <col min="12" max="12" width="12.0833333333333" style="4" customWidth="1"/>
    <col min="13" max="14" width="11.55" style="4" customWidth="1"/>
    <col min="15" max="15" width="11.1" style="4" customWidth="1"/>
    <col min="16" max="16" width="13.3416666666667" style="4" hidden="1" customWidth="1"/>
    <col min="17" max="17" width="13.45" style="4" hidden="1" customWidth="1"/>
    <col min="18" max="18" width="13.45" style="4" customWidth="1"/>
    <col min="19" max="19" width="12.8583333333333" style="4" customWidth="1"/>
    <col min="20" max="20" width="14.8333333333333" style="4" customWidth="1"/>
    <col min="21" max="21" width="8.95" style="4" customWidth="1"/>
    <col min="22" max="22" width="11.6333333333333" style="4"/>
    <col min="23" max="16343" width="8.95" style="4"/>
    <col min="16344" max="16352" width="9.7" style="4"/>
    <col min="16353" max="16370" width="9.675" style="4"/>
    <col min="16371" max="16381" width="9.65" style="6"/>
    <col min="16382" max="16384" width="9.64166666666667" style="6"/>
  </cols>
  <sheetData>
    <row r="1" s="1" customFormat="1" ht="34" customHeight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="2" customFormat="1" ht="30" customHeight="1" spans="1:16353">
      <c r="A2" s="8" t="s">
        <v>1</v>
      </c>
      <c r="B2" s="8" t="s">
        <v>2</v>
      </c>
      <c r="C2" s="8"/>
      <c r="D2" s="8"/>
      <c r="E2" s="8" t="s">
        <v>3</v>
      </c>
      <c r="F2" s="8" t="s">
        <v>4</v>
      </c>
      <c r="G2" s="8"/>
      <c r="H2" s="8" t="s">
        <v>5</v>
      </c>
      <c r="I2" s="8"/>
      <c r="J2" s="8"/>
      <c r="K2" s="8" t="s">
        <v>6</v>
      </c>
      <c r="L2" s="8" t="s">
        <v>7</v>
      </c>
      <c r="M2" s="8" t="s">
        <v>8</v>
      </c>
      <c r="N2" s="8"/>
      <c r="O2" s="8"/>
      <c r="P2" s="8" t="s">
        <v>9</v>
      </c>
      <c r="Q2" s="8"/>
      <c r="R2" s="8" t="s">
        <v>10</v>
      </c>
      <c r="S2" s="8" t="s">
        <v>11</v>
      </c>
      <c r="T2" s="12" t="s">
        <v>12</v>
      </c>
      <c r="U2" s="12" t="s">
        <v>13</v>
      </c>
      <c r="XDP2" s="18"/>
      <c r="XDQ2" s="18"/>
      <c r="XDR2" s="18"/>
      <c r="XDS2" s="18"/>
      <c r="XDT2" s="18"/>
      <c r="XDU2" s="18"/>
      <c r="XDV2" s="18"/>
      <c r="XDW2" s="18"/>
      <c r="XDX2" s="18"/>
      <c r="XDY2" s="18"/>
    </row>
    <row r="3" s="2" customFormat="1" ht="39" customHeight="1" spans="1:16353">
      <c r="A3" s="8"/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 t="s">
        <v>27</v>
      </c>
      <c r="P3" s="8" t="s">
        <v>28</v>
      </c>
      <c r="Q3" s="8" t="s">
        <v>29</v>
      </c>
      <c r="R3" s="8"/>
      <c r="S3" s="8"/>
      <c r="T3" s="13">
        <v>120671.106</v>
      </c>
      <c r="U3" s="12"/>
      <c r="XDP3" s="18"/>
      <c r="XDQ3" s="18"/>
      <c r="XDR3" s="18"/>
      <c r="XDS3" s="18"/>
      <c r="XDT3" s="18"/>
      <c r="XDU3" s="18"/>
      <c r="XDV3" s="18"/>
      <c r="XDW3" s="18"/>
      <c r="XDX3" s="18"/>
      <c r="XDY3" s="18"/>
    </row>
    <row r="4" s="3" customFormat="1" ht="27" customHeight="1" spans="1:16353">
      <c r="A4" s="9">
        <v>45901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>
        <f t="shared" ref="R4:R34" si="0">SUM(B4:Q4)</f>
        <v>0</v>
      </c>
      <c r="S4" s="14">
        <v>4146</v>
      </c>
      <c r="T4" s="15">
        <f t="shared" ref="T4:T34" si="1">T3+R4-S4</f>
        <v>116525.106</v>
      </c>
      <c r="U4" s="14"/>
      <c r="XDP4" s="19"/>
      <c r="XDQ4" s="19"/>
      <c r="XDR4" s="19"/>
      <c r="XDS4" s="19"/>
      <c r="XDT4" s="19"/>
      <c r="XDU4" s="19"/>
      <c r="XDV4" s="19"/>
      <c r="XDW4" s="19"/>
      <c r="XDX4" s="19"/>
      <c r="XDY4" s="19"/>
    </row>
    <row r="5" s="3" customFormat="1" ht="27" customHeight="1" spans="1:16353">
      <c r="A5" s="9">
        <v>45902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>
        <f t="shared" si="0"/>
        <v>0</v>
      </c>
      <c r="S5" s="14">
        <v>4956</v>
      </c>
      <c r="T5" s="15">
        <f t="shared" si="1"/>
        <v>111569.106</v>
      </c>
      <c r="U5" s="14"/>
      <c r="XDP5" s="19"/>
      <c r="XDQ5" s="19"/>
      <c r="XDR5" s="19"/>
      <c r="XDS5" s="19"/>
      <c r="XDT5" s="19"/>
      <c r="XDU5" s="19"/>
      <c r="XDV5" s="19"/>
      <c r="XDW5" s="19"/>
      <c r="XDX5" s="19"/>
      <c r="XDY5" s="19"/>
    </row>
    <row r="6" s="3" customFormat="1" ht="27" customHeight="1" spans="1:16353">
      <c r="A6" s="9">
        <v>45903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f t="shared" si="0"/>
        <v>0</v>
      </c>
      <c r="S6" s="14">
        <v>4455</v>
      </c>
      <c r="T6" s="15">
        <f t="shared" si="1"/>
        <v>107114.106</v>
      </c>
      <c r="U6" s="14"/>
      <c r="XDP6" s="19"/>
      <c r="XDQ6" s="19"/>
      <c r="XDR6" s="19"/>
      <c r="XDS6" s="19"/>
      <c r="XDT6" s="19"/>
      <c r="XDU6" s="19"/>
      <c r="XDV6" s="19"/>
      <c r="XDW6" s="19"/>
      <c r="XDX6" s="19"/>
      <c r="XDY6" s="19"/>
    </row>
    <row r="7" s="3" customFormat="1" ht="27" customHeight="1" spans="1:16353">
      <c r="A7" s="9">
        <v>45904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>
        <f t="shared" si="0"/>
        <v>0</v>
      </c>
      <c r="S7" s="14">
        <v>4479</v>
      </c>
      <c r="T7" s="15">
        <f t="shared" si="1"/>
        <v>102635.106</v>
      </c>
      <c r="U7" s="14"/>
      <c r="XDP7" s="19"/>
      <c r="XDQ7" s="19"/>
      <c r="XDR7" s="19"/>
      <c r="XDS7" s="19"/>
      <c r="XDT7" s="19"/>
      <c r="XDU7" s="19"/>
      <c r="XDV7" s="19"/>
      <c r="XDW7" s="19"/>
      <c r="XDX7" s="19"/>
      <c r="XDY7" s="19"/>
    </row>
    <row r="8" s="3" customFormat="1" ht="27" customHeight="1" spans="1:16353">
      <c r="A8" s="9">
        <v>45905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>
        <f t="shared" si="0"/>
        <v>0</v>
      </c>
      <c r="S8" s="14">
        <v>4699</v>
      </c>
      <c r="T8" s="15">
        <f t="shared" si="1"/>
        <v>97936.106</v>
      </c>
      <c r="U8" s="14"/>
      <c r="XDP8" s="19"/>
      <c r="XDQ8" s="19"/>
      <c r="XDR8" s="19"/>
      <c r="XDS8" s="19"/>
      <c r="XDT8" s="19"/>
      <c r="XDU8" s="19"/>
      <c r="XDV8" s="19"/>
      <c r="XDW8" s="19"/>
      <c r="XDX8" s="19"/>
      <c r="XDY8" s="19"/>
    </row>
    <row r="9" s="3" customFormat="1" ht="27" customHeight="1" spans="1:16353">
      <c r="A9" s="9">
        <v>45906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f t="shared" si="0"/>
        <v>0</v>
      </c>
      <c r="S9" s="14">
        <v>4447</v>
      </c>
      <c r="T9" s="15">
        <f t="shared" si="1"/>
        <v>93489.106</v>
      </c>
      <c r="U9" s="14"/>
      <c r="XDP9" s="19"/>
      <c r="XDQ9" s="19"/>
      <c r="XDR9" s="19"/>
      <c r="XDS9" s="19"/>
      <c r="XDT9" s="19"/>
      <c r="XDU9" s="19"/>
      <c r="XDV9" s="19"/>
      <c r="XDW9" s="19"/>
      <c r="XDX9" s="19"/>
      <c r="XDY9" s="19"/>
    </row>
    <row r="10" s="3" customFormat="1" ht="27" customHeight="1" spans="1:16353">
      <c r="A10" s="9">
        <v>45907</v>
      </c>
      <c r="B10" s="10"/>
      <c r="C10" s="10"/>
      <c r="D10" s="10"/>
      <c r="E10" s="10">
        <v>3083.7</v>
      </c>
      <c r="F10" s="10"/>
      <c r="G10" s="10"/>
      <c r="H10" s="10"/>
      <c r="I10" s="10"/>
      <c r="J10" s="10"/>
      <c r="K10" s="10"/>
      <c r="L10" s="10"/>
      <c r="M10" s="10">
        <v>7425.98</v>
      </c>
      <c r="N10" s="10"/>
      <c r="O10" s="10"/>
      <c r="P10" s="10"/>
      <c r="Q10" s="10"/>
      <c r="R10" s="10">
        <f t="shared" si="0"/>
        <v>10509.68</v>
      </c>
      <c r="S10" s="14">
        <v>5100</v>
      </c>
      <c r="T10" s="15">
        <f t="shared" si="1"/>
        <v>98898.786</v>
      </c>
      <c r="U10" s="14"/>
      <c r="XDP10" s="19"/>
      <c r="XDQ10" s="19"/>
      <c r="XDR10" s="19"/>
      <c r="XDS10" s="19"/>
      <c r="XDT10" s="19"/>
      <c r="XDU10" s="19"/>
      <c r="XDV10" s="19"/>
      <c r="XDW10" s="19"/>
      <c r="XDX10" s="19"/>
      <c r="XDY10" s="19"/>
    </row>
    <row r="11" s="3" customFormat="1" ht="27" customHeight="1" spans="1:16353">
      <c r="A11" s="9">
        <v>45908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>
        <v>7813.96</v>
      </c>
      <c r="M11" s="10"/>
      <c r="N11" s="10"/>
      <c r="O11" s="10"/>
      <c r="P11" s="10"/>
      <c r="Q11" s="10"/>
      <c r="R11" s="10">
        <f t="shared" si="0"/>
        <v>7813.96</v>
      </c>
      <c r="S11" s="14">
        <v>2734</v>
      </c>
      <c r="T11" s="15">
        <f t="shared" si="1"/>
        <v>103978.746</v>
      </c>
      <c r="U11" s="14"/>
      <c r="XDP11" s="19"/>
      <c r="XDQ11" s="19"/>
      <c r="XDR11" s="19"/>
      <c r="XDS11" s="19"/>
      <c r="XDT11" s="19"/>
      <c r="XDU11" s="19"/>
      <c r="XDV11" s="19"/>
      <c r="XDW11" s="19"/>
      <c r="XDX11" s="19"/>
      <c r="XDY11" s="19"/>
    </row>
    <row r="12" s="3" customFormat="1" ht="27" customHeight="1" spans="1:16353">
      <c r="A12" s="9">
        <v>45909</v>
      </c>
      <c r="B12" s="10"/>
      <c r="C12" s="10"/>
      <c r="D12" s="10"/>
      <c r="E12" s="10">
        <v>2976.94</v>
      </c>
      <c r="F12" s="10"/>
      <c r="G12" s="10"/>
      <c r="H12" s="10"/>
      <c r="I12" s="10"/>
      <c r="J12" s="10"/>
      <c r="K12" s="10"/>
      <c r="L12" s="10"/>
      <c r="M12" s="10">
        <v>7346.78</v>
      </c>
      <c r="N12" s="10"/>
      <c r="O12" s="10"/>
      <c r="P12" s="10"/>
      <c r="Q12" s="10"/>
      <c r="R12" s="10">
        <f t="shared" si="0"/>
        <v>10323.72</v>
      </c>
      <c r="S12" s="14">
        <v>1494</v>
      </c>
      <c r="T12" s="15">
        <f t="shared" si="1"/>
        <v>112808.466</v>
      </c>
      <c r="U12" s="14"/>
      <c r="XDP12" s="19"/>
      <c r="XDQ12" s="19"/>
      <c r="XDR12" s="19"/>
      <c r="XDS12" s="19"/>
      <c r="XDT12" s="19"/>
      <c r="XDU12" s="19"/>
      <c r="XDV12" s="19"/>
      <c r="XDW12" s="19"/>
      <c r="XDX12" s="19"/>
      <c r="XDY12" s="19"/>
    </row>
    <row r="13" s="3" customFormat="1" ht="27" customHeight="1" spans="1:16353">
      <c r="A13" s="9">
        <v>45910</v>
      </c>
      <c r="B13" s="10"/>
      <c r="C13" s="10"/>
      <c r="D13" s="10">
        <v>60.62</v>
      </c>
      <c r="E13" s="10">
        <v>3052.3</v>
      </c>
      <c r="F13" s="10"/>
      <c r="G13" s="10"/>
      <c r="H13" s="10"/>
      <c r="I13" s="10"/>
      <c r="J13" s="10"/>
      <c r="K13" s="10"/>
      <c r="L13" s="10">
        <v>7331.22</v>
      </c>
      <c r="M13" s="10"/>
      <c r="N13" s="10"/>
      <c r="O13" s="10"/>
      <c r="P13" s="10"/>
      <c r="Q13" s="10"/>
      <c r="R13" s="10">
        <f t="shared" si="0"/>
        <v>10444.14</v>
      </c>
      <c r="S13" s="14">
        <v>2470</v>
      </c>
      <c r="T13" s="15">
        <f t="shared" si="1"/>
        <v>120782.606</v>
      </c>
      <c r="U13" s="14"/>
      <c r="XDP13" s="19"/>
      <c r="XDQ13" s="19"/>
      <c r="XDR13" s="19"/>
      <c r="XDS13" s="19"/>
      <c r="XDT13" s="19"/>
      <c r="XDU13" s="19"/>
      <c r="XDV13" s="19"/>
      <c r="XDW13" s="19"/>
      <c r="XDX13" s="19"/>
      <c r="XDY13" s="19"/>
    </row>
    <row r="14" s="3" customFormat="1" ht="27" customHeight="1" spans="1:16353">
      <c r="A14" s="9">
        <v>45911</v>
      </c>
      <c r="B14" s="10"/>
      <c r="C14" s="10"/>
      <c r="D14" s="10">
        <v>393.02</v>
      </c>
      <c r="E14" s="10">
        <v>1772.12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f t="shared" si="0"/>
        <v>2165.14</v>
      </c>
      <c r="S14" s="14">
        <v>2447</v>
      </c>
      <c r="T14" s="15">
        <f t="shared" si="1"/>
        <v>120500.746</v>
      </c>
      <c r="U14" s="14"/>
      <c r="XDP14" s="19"/>
      <c r="XDQ14" s="19"/>
      <c r="XDR14" s="19"/>
      <c r="XDS14" s="19"/>
      <c r="XDT14" s="19"/>
      <c r="XDU14" s="19"/>
      <c r="XDV14" s="19"/>
      <c r="XDW14" s="19"/>
      <c r="XDX14" s="19"/>
      <c r="XDY14" s="19"/>
    </row>
    <row r="15" s="3" customFormat="1" ht="27" customHeight="1" spans="1:16353">
      <c r="A15" s="9">
        <v>45912</v>
      </c>
      <c r="B15" s="10"/>
      <c r="C15" s="10"/>
      <c r="E15" s="10">
        <v>3138.84</v>
      </c>
      <c r="F15" s="10">
        <v>3698.82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f t="shared" si="0"/>
        <v>6837.66</v>
      </c>
      <c r="S15" s="14">
        <v>5830</v>
      </c>
      <c r="T15" s="15">
        <f t="shared" si="1"/>
        <v>121508.406</v>
      </c>
      <c r="U15" s="14"/>
      <c r="XDP15" s="19"/>
      <c r="XDQ15" s="19"/>
      <c r="XDR15" s="19"/>
      <c r="XDS15" s="19"/>
      <c r="XDT15" s="19"/>
      <c r="XDU15" s="19"/>
      <c r="XDV15" s="19"/>
      <c r="XDW15" s="19"/>
      <c r="XDX15" s="19"/>
      <c r="XDY15" s="19"/>
    </row>
    <row r="16" s="3" customFormat="1" ht="27" customHeight="1" spans="1:16353">
      <c r="A16" s="9">
        <v>45913</v>
      </c>
      <c r="B16" s="10"/>
      <c r="C16" s="10"/>
      <c r="D16" s="10">
        <v>60.88</v>
      </c>
      <c r="E16" s="10">
        <v>3097.9</v>
      </c>
      <c r="F16" s="10"/>
      <c r="G16" s="10"/>
      <c r="H16" s="10"/>
      <c r="I16" s="10"/>
      <c r="J16" s="10">
        <v>3472.02</v>
      </c>
      <c r="K16" s="10"/>
      <c r="L16" s="10"/>
      <c r="M16" s="10"/>
      <c r="N16" s="10"/>
      <c r="O16" s="10"/>
      <c r="P16" s="10"/>
      <c r="Q16" s="10"/>
      <c r="R16" s="10">
        <f t="shared" si="0"/>
        <v>6630.8</v>
      </c>
      <c r="S16" s="14">
        <v>6390</v>
      </c>
      <c r="T16" s="15">
        <f t="shared" si="1"/>
        <v>121749.206</v>
      </c>
      <c r="U16" s="14"/>
      <c r="XDP16" s="19"/>
      <c r="XDQ16" s="19"/>
      <c r="XDR16" s="19"/>
      <c r="XDS16" s="19"/>
      <c r="XDT16" s="19"/>
      <c r="XDU16" s="19"/>
      <c r="XDV16" s="19"/>
      <c r="XDW16" s="19"/>
      <c r="XDX16" s="19"/>
      <c r="XDY16" s="19"/>
    </row>
    <row r="17" s="3" customFormat="1" ht="27" customHeight="1" spans="1:16353">
      <c r="A17" s="9">
        <v>45914</v>
      </c>
      <c r="B17" s="10"/>
      <c r="C17" s="10"/>
      <c r="D17" s="10">
        <v>577.44</v>
      </c>
      <c r="E17" s="10">
        <v>3266.28</v>
      </c>
      <c r="F17" s="10"/>
      <c r="G17" s="10"/>
      <c r="H17" s="10"/>
      <c r="I17" s="10"/>
      <c r="J17" s="10"/>
      <c r="K17" s="10"/>
      <c r="L17" s="10"/>
      <c r="M17" s="10">
        <v>4611.32</v>
      </c>
      <c r="N17" s="10"/>
      <c r="O17" s="10"/>
      <c r="P17" s="10"/>
      <c r="Q17" s="10"/>
      <c r="R17" s="10">
        <f t="shared" si="0"/>
        <v>8455.04</v>
      </c>
      <c r="S17" s="14">
        <v>5286</v>
      </c>
      <c r="T17" s="15">
        <f t="shared" si="1"/>
        <v>124918.246</v>
      </c>
      <c r="U17" s="14"/>
      <c r="XDP17" s="19"/>
      <c r="XDQ17" s="19"/>
      <c r="XDR17" s="19"/>
      <c r="XDS17" s="19"/>
      <c r="XDT17" s="19"/>
      <c r="XDU17" s="19"/>
      <c r="XDV17" s="19"/>
      <c r="XDW17" s="19"/>
      <c r="XDX17" s="19"/>
      <c r="XDY17" s="19"/>
    </row>
    <row r="18" s="3" customFormat="1" ht="27" customHeight="1" spans="1:16353">
      <c r="A18" s="9">
        <v>45915</v>
      </c>
      <c r="B18" s="10">
        <v>123.4</v>
      </c>
      <c r="C18" s="10"/>
      <c r="D18" s="10">
        <v>300.92</v>
      </c>
      <c r="E18" s="10">
        <v>906.46</v>
      </c>
      <c r="F18" s="10"/>
      <c r="G18" s="10"/>
      <c r="H18" s="10"/>
      <c r="I18" s="10"/>
      <c r="J18" s="10"/>
      <c r="K18" s="10"/>
      <c r="L18" s="10">
        <v>1719.12</v>
      </c>
      <c r="M18" s="10"/>
      <c r="N18" s="10"/>
      <c r="O18" s="10"/>
      <c r="P18" s="10"/>
      <c r="Q18" s="10"/>
      <c r="R18" s="10">
        <f t="shared" si="0"/>
        <v>3049.9</v>
      </c>
      <c r="S18" s="14">
        <v>4932</v>
      </c>
      <c r="T18" s="15">
        <f t="shared" si="1"/>
        <v>123036.146</v>
      </c>
      <c r="U18" s="14"/>
      <c r="XDP18" s="19"/>
      <c r="XDQ18" s="19"/>
      <c r="XDR18" s="19"/>
      <c r="XDS18" s="19"/>
      <c r="XDT18" s="19"/>
      <c r="XDU18" s="19"/>
      <c r="XDV18" s="19"/>
      <c r="XDW18" s="19"/>
      <c r="XDX18" s="19"/>
      <c r="XDY18" s="19"/>
    </row>
    <row r="19" s="3" customFormat="1" ht="27" customHeight="1" spans="1:16353">
      <c r="A19" s="9">
        <v>45916</v>
      </c>
      <c r="B19" s="10"/>
      <c r="C19" s="10"/>
      <c r="D19" s="10"/>
      <c r="E19" s="10">
        <v>3411.95</v>
      </c>
      <c r="F19" s="10"/>
      <c r="G19" s="10"/>
      <c r="H19" s="10"/>
      <c r="I19" s="10"/>
      <c r="J19" s="10"/>
      <c r="K19" s="10"/>
      <c r="L19" s="10"/>
      <c r="M19" s="10">
        <v>3867.32</v>
      </c>
      <c r="N19" s="10"/>
      <c r="O19" s="10"/>
      <c r="P19" s="10"/>
      <c r="Q19" s="10"/>
      <c r="R19" s="10">
        <f t="shared" si="0"/>
        <v>7279.27</v>
      </c>
      <c r="S19" s="14">
        <v>5559</v>
      </c>
      <c r="T19" s="15">
        <f t="shared" si="1"/>
        <v>124756.416</v>
      </c>
      <c r="U19" s="14"/>
      <c r="XDP19" s="19"/>
      <c r="XDQ19" s="19"/>
      <c r="XDR19" s="19"/>
      <c r="XDS19" s="19"/>
      <c r="XDT19" s="19"/>
      <c r="XDU19" s="19"/>
      <c r="XDV19" s="19"/>
      <c r="XDW19" s="19"/>
      <c r="XDX19" s="19"/>
      <c r="XDY19" s="19"/>
    </row>
    <row r="20" s="3" customFormat="1" ht="27" customHeight="1" spans="1:16353">
      <c r="A20" s="9">
        <v>45917</v>
      </c>
      <c r="B20" s="10">
        <v>180.72</v>
      </c>
      <c r="C20" s="10"/>
      <c r="D20" s="10"/>
      <c r="E20" s="10">
        <v>3899.04</v>
      </c>
      <c r="F20" s="10"/>
      <c r="G20" s="10"/>
      <c r="H20" s="10"/>
      <c r="I20" s="10"/>
      <c r="J20" s="10"/>
      <c r="K20" s="10"/>
      <c r="L20" s="10"/>
      <c r="M20" s="10">
        <v>3726.04</v>
      </c>
      <c r="N20" s="10"/>
      <c r="O20" s="10"/>
      <c r="P20" s="10"/>
      <c r="Q20" s="10"/>
      <c r="R20" s="10">
        <f t="shared" si="0"/>
        <v>7805.8</v>
      </c>
      <c r="S20" s="14">
        <v>7168</v>
      </c>
      <c r="T20" s="15">
        <f t="shared" si="1"/>
        <v>125394.216</v>
      </c>
      <c r="U20" s="14"/>
      <c r="XDP20" s="19"/>
      <c r="XDQ20" s="19"/>
      <c r="XDR20" s="19"/>
      <c r="XDS20" s="19"/>
      <c r="XDT20" s="19"/>
      <c r="XDU20" s="19"/>
      <c r="XDV20" s="19"/>
      <c r="XDW20" s="19"/>
      <c r="XDX20" s="19"/>
      <c r="XDY20" s="19"/>
    </row>
    <row r="21" s="3" customFormat="1" ht="27" customHeight="1" spans="1:16353">
      <c r="A21" s="9">
        <v>45918</v>
      </c>
      <c r="B21" s="10"/>
      <c r="C21" s="10"/>
      <c r="D21" s="10">
        <v>304.76</v>
      </c>
      <c r="E21" s="10">
        <v>1614.14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f t="shared" si="0"/>
        <v>1918.9</v>
      </c>
      <c r="S21" s="14">
        <v>5283</v>
      </c>
      <c r="T21" s="15">
        <f t="shared" si="1"/>
        <v>122030.116</v>
      </c>
      <c r="U21" s="14"/>
      <c r="XDP21" s="19"/>
      <c r="XDQ21" s="19"/>
      <c r="XDR21" s="19"/>
      <c r="XDS21" s="19"/>
      <c r="XDT21" s="19"/>
      <c r="XDU21" s="19"/>
      <c r="XDV21" s="19"/>
      <c r="XDW21" s="19"/>
      <c r="XDX21" s="19"/>
      <c r="XDY21" s="19"/>
    </row>
    <row r="22" s="3" customFormat="1" ht="27" customHeight="1" spans="1:16353">
      <c r="A22" s="9">
        <v>45919</v>
      </c>
      <c r="B22" s="10">
        <v>60.5</v>
      </c>
      <c r="C22" s="10">
        <v>640.5</v>
      </c>
      <c r="D22" s="10"/>
      <c r="E22" s="10">
        <v>89.98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f t="shared" si="0"/>
        <v>790.98</v>
      </c>
      <c r="S22" s="14">
        <v>6320</v>
      </c>
      <c r="T22" s="15">
        <f t="shared" si="1"/>
        <v>116501.096</v>
      </c>
      <c r="U22" s="14"/>
      <c r="XDP22" s="19"/>
      <c r="XDQ22" s="19"/>
      <c r="XDR22" s="19"/>
      <c r="XDS22" s="19"/>
      <c r="XDT22" s="19"/>
      <c r="XDU22" s="19"/>
      <c r="XDV22" s="19"/>
      <c r="XDW22" s="19"/>
      <c r="XDX22" s="19"/>
      <c r="XDY22" s="19"/>
    </row>
    <row r="23" s="3" customFormat="1" ht="27" customHeight="1" spans="1:16353">
      <c r="A23" s="9">
        <v>45920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>
        <v>3573.98</v>
      </c>
      <c r="P23" s="10"/>
      <c r="Q23" s="10"/>
      <c r="R23" s="10">
        <f t="shared" si="0"/>
        <v>3573.98</v>
      </c>
      <c r="S23" s="14">
        <v>5000</v>
      </c>
      <c r="T23" s="15">
        <f t="shared" si="1"/>
        <v>115075.076</v>
      </c>
      <c r="U23" s="14"/>
      <c r="XDP23" s="19"/>
      <c r="XDQ23" s="19"/>
      <c r="XDR23" s="19"/>
      <c r="XDS23" s="19"/>
      <c r="XDT23" s="19"/>
      <c r="XDU23" s="19"/>
      <c r="XDV23" s="19"/>
      <c r="XDW23" s="19"/>
      <c r="XDX23" s="19"/>
      <c r="XDY23" s="19"/>
    </row>
    <row r="24" s="3" customFormat="1" ht="27" customHeight="1" spans="1:16353">
      <c r="A24" s="9">
        <v>45921</v>
      </c>
      <c r="B24" s="10"/>
      <c r="C24" s="10"/>
      <c r="D24" s="10"/>
      <c r="E24" s="10">
        <v>3830.7</v>
      </c>
      <c r="F24" s="10"/>
      <c r="G24" s="10"/>
      <c r="H24" s="10"/>
      <c r="I24" s="10"/>
      <c r="J24" s="10"/>
      <c r="K24" s="10"/>
      <c r="L24" s="10"/>
      <c r="M24" s="10"/>
      <c r="N24" s="10"/>
      <c r="O24" s="10">
        <v>3622.44</v>
      </c>
      <c r="P24" s="10"/>
      <c r="Q24" s="10"/>
      <c r="R24" s="10">
        <f t="shared" si="0"/>
        <v>7453.14</v>
      </c>
      <c r="S24" s="14">
        <v>4800</v>
      </c>
      <c r="T24" s="15">
        <f t="shared" si="1"/>
        <v>117728.216</v>
      </c>
      <c r="U24" s="14"/>
      <c r="XDP24" s="19"/>
      <c r="XDQ24" s="19"/>
      <c r="XDR24" s="19"/>
      <c r="XDS24" s="19"/>
      <c r="XDT24" s="19"/>
      <c r="XDU24" s="19"/>
      <c r="XDV24" s="19"/>
      <c r="XDW24" s="19"/>
      <c r="XDX24" s="19"/>
      <c r="XDY24" s="19"/>
    </row>
    <row r="25" s="3" customFormat="1" ht="27" customHeight="1" spans="1:16353">
      <c r="A25" s="9">
        <v>45922</v>
      </c>
      <c r="B25" s="10"/>
      <c r="C25" s="10">
        <v>637.56</v>
      </c>
      <c r="D25" s="10">
        <v>184.02</v>
      </c>
      <c r="E25" s="10">
        <v>3647.1</v>
      </c>
      <c r="F25" s="10"/>
      <c r="G25" s="10"/>
      <c r="H25" s="10"/>
      <c r="I25" s="10"/>
      <c r="J25" s="10"/>
      <c r="K25" s="10"/>
      <c r="L25" s="10"/>
      <c r="M25" s="10"/>
      <c r="N25" s="10"/>
      <c r="O25" s="10">
        <v>3699</v>
      </c>
      <c r="P25" s="10"/>
      <c r="Q25" s="10"/>
      <c r="R25" s="10">
        <f t="shared" si="0"/>
        <v>8167.68</v>
      </c>
      <c r="S25" s="14">
        <v>7400</v>
      </c>
      <c r="T25" s="15">
        <f t="shared" si="1"/>
        <v>118495.896</v>
      </c>
      <c r="U25" s="14"/>
      <c r="XDP25" s="19"/>
      <c r="XDQ25" s="19"/>
      <c r="XDR25" s="19"/>
      <c r="XDS25" s="19"/>
      <c r="XDT25" s="19"/>
      <c r="XDU25" s="19"/>
      <c r="XDV25" s="19"/>
      <c r="XDW25" s="19"/>
      <c r="XDX25" s="19"/>
      <c r="XDY25" s="19"/>
    </row>
    <row r="26" s="3" customFormat="1" ht="27" customHeight="1" spans="1:16353">
      <c r="A26" s="9">
        <v>45923</v>
      </c>
      <c r="B26" s="10"/>
      <c r="C26" s="10">
        <v>713.88</v>
      </c>
      <c r="D26" s="10"/>
      <c r="E26" s="10">
        <v>2017.74</v>
      </c>
      <c r="F26" s="10"/>
      <c r="G26" s="10"/>
      <c r="H26" s="10"/>
      <c r="I26" s="10"/>
      <c r="J26" s="10"/>
      <c r="K26" s="10"/>
      <c r="L26" s="10"/>
      <c r="M26" s="10">
        <v>5370.06</v>
      </c>
      <c r="N26" s="10"/>
      <c r="O26" s="10"/>
      <c r="P26" s="10"/>
      <c r="Q26" s="10"/>
      <c r="R26" s="10">
        <f t="shared" si="0"/>
        <v>8101.68</v>
      </c>
      <c r="S26" s="14">
        <v>7246</v>
      </c>
      <c r="T26" s="15">
        <f t="shared" si="1"/>
        <v>119351.576</v>
      </c>
      <c r="U26" s="16"/>
      <c r="XDP26" s="19"/>
      <c r="XDQ26" s="19"/>
      <c r="XDR26" s="19"/>
      <c r="XDS26" s="19"/>
      <c r="XDT26" s="19"/>
      <c r="XDU26" s="19"/>
      <c r="XDV26" s="19"/>
      <c r="XDW26" s="19"/>
      <c r="XDX26" s="19"/>
      <c r="XDY26" s="19"/>
    </row>
    <row r="27" s="3" customFormat="1" ht="27" customHeight="1" spans="1:16353">
      <c r="A27" s="9">
        <v>45924</v>
      </c>
      <c r="B27" s="10">
        <v>243.02</v>
      </c>
      <c r="C27" s="10"/>
      <c r="D27" s="10"/>
      <c r="E27" s="10"/>
      <c r="F27" s="10"/>
      <c r="G27" s="10"/>
      <c r="H27" s="10">
        <v>142.1</v>
      </c>
      <c r="I27" s="10"/>
      <c r="J27" s="10"/>
      <c r="K27" s="10"/>
      <c r="L27" s="10"/>
      <c r="M27" s="10"/>
      <c r="N27" s="10"/>
      <c r="O27" s="10">
        <v>3878.78</v>
      </c>
      <c r="P27" s="10"/>
      <c r="Q27" s="10"/>
      <c r="R27" s="10">
        <f t="shared" si="0"/>
        <v>4263.9</v>
      </c>
      <c r="S27" s="14">
        <v>5293</v>
      </c>
      <c r="T27" s="15">
        <f t="shared" si="1"/>
        <v>118322.476</v>
      </c>
      <c r="U27" s="14"/>
      <c r="XDP27" s="19"/>
      <c r="XDQ27" s="19"/>
      <c r="XDR27" s="19"/>
      <c r="XDS27" s="19"/>
      <c r="XDT27" s="19"/>
      <c r="XDU27" s="19"/>
      <c r="XDV27" s="19"/>
      <c r="XDW27" s="19"/>
      <c r="XDX27" s="19"/>
      <c r="XDY27" s="19"/>
    </row>
    <row r="28" s="3" customFormat="1" ht="27" customHeight="1" spans="1:16353">
      <c r="A28" s="9">
        <v>45925</v>
      </c>
      <c r="B28" s="10">
        <v>29.84</v>
      </c>
      <c r="C28" s="10"/>
      <c r="D28" s="10"/>
      <c r="E28" s="10"/>
      <c r="F28" s="10"/>
      <c r="G28" s="10">
        <v>3976.24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>
        <f t="shared" si="0"/>
        <v>4006.08</v>
      </c>
      <c r="S28" s="14">
        <v>5507</v>
      </c>
      <c r="T28" s="15">
        <f t="shared" si="1"/>
        <v>116821.556</v>
      </c>
      <c r="U28" s="14"/>
      <c r="XDP28" s="19"/>
      <c r="XDQ28" s="19"/>
      <c r="XDR28" s="19"/>
      <c r="XDS28" s="19"/>
      <c r="XDT28" s="19"/>
      <c r="XDU28" s="19"/>
      <c r="XDV28" s="19"/>
      <c r="XDW28" s="19"/>
      <c r="XDX28" s="19"/>
      <c r="XDY28" s="19"/>
    </row>
    <row r="29" s="3" customFormat="1" ht="27" customHeight="1" spans="1:16353">
      <c r="A29" s="9">
        <v>45926</v>
      </c>
      <c r="B29" s="10">
        <v>428.9</v>
      </c>
      <c r="C29" s="10"/>
      <c r="D29" s="10"/>
      <c r="E29" s="10"/>
      <c r="F29" s="10"/>
      <c r="G29" s="10"/>
      <c r="H29" s="10"/>
      <c r="I29" s="10">
        <v>3378.16</v>
      </c>
      <c r="J29" s="10"/>
      <c r="K29" s="10"/>
      <c r="L29" s="10"/>
      <c r="M29" s="10"/>
      <c r="N29" s="10"/>
      <c r="O29" s="10"/>
      <c r="P29" s="10"/>
      <c r="Q29" s="10"/>
      <c r="R29" s="10">
        <f t="shared" si="0"/>
        <v>3807.06</v>
      </c>
      <c r="S29" s="14">
        <v>5129.9</v>
      </c>
      <c r="T29" s="15">
        <f t="shared" si="1"/>
        <v>115498.716</v>
      </c>
      <c r="U29" s="14"/>
      <c r="XDP29" s="19"/>
      <c r="XDQ29" s="19"/>
      <c r="XDR29" s="19"/>
      <c r="XDS29" s="19"/>
      <c r="XDT29" s="19"/>
      <c r="XDU29" s="19"/>
      <c r="XDV29" s="19"/>
      <c r="XDW29" s="19"/>
      <c r="XDX29" s="19"/>
      <c r="XDY29" s="19"/>
    </row>
    <row r="30" s="3" customFormat="1" ht="27" customHeight="1" spans="1:16353">
      <c r="A30" s="9">
        <v>45927</v>
      </c>
      <c r="B30" s="10">
        <v>93.26</v>
      </c>
      <c r="C30" s="10">
        <v>317.36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>
        <v>6814.36</v>
      </c>
      <c r="O30" s="10"/>
      <c r="P30" s="10"/>
      <c r="Q30" s="10"/>
      <c r="R30" s="10">
        <f t="shared" si="0"/>
        <v>7224.98</v>
      </c>
      <c r="S30" s="14">
        <v>6856.08</v>
      </c>
      <c r="T30" s="15">
        <f t="shared" si="1"/>
        <v>115867.616</v>
      </c>
      <c r="U30" s="14"/>
      <c r="XDP30" s="19"/>
      <c r="XDQ30" s="19"/>
      <c r="XDR30" s="19"/>
      <c r="XDS30" s="19"/>
      <c r="XDT30" s="19"/>
      <c r="XDU30" s="19"/>
      <c r="XDV30" s="19"/>
      <c r="XDW30" s="19"/>
      <c r="XDX30" s="19"/>
      <c r="XDY30" s="19"/>
    </row>
    <row r="31" s="3" customFormat="1" ht="27" customHeight="1" spans="1:16353">
      <c r="A31" s="9">
        <v>45928</v>
      </c>
      <c r="B31" s="10">
        <v>93.6</v>
      </c>
      <c r="C31" s="10"/>
      <c r="D31" s="10"/>
      <c r="E31" s="10"/>
      <c r="F31" s="10"/>
      <c r="G31" s="10"/>
      <c r="H31" s="10"/>
      <c r="I31" s="10">
        <v>3498.22</v>
      </c>
      <c r="J31" s="10"/>
      <c r="K31" s="10"/>
      <c r="L31" s="10"/>
      <c r="M31" s="10"/>
      <c r="N31" s="10"/>
      <c r="O31" s="10"/>
      <c r="P31" s="10"/>
      <c r="Q31" s="10"/>
      <c r="R31" s="10">
        <f t="shared" si="0"/>
        <v>3591.82</v>
      </c>
      <c r="S31" s="14">
        <v>5566.46</v>
      </c>
      <c r="T31" s="15">
        <f t="shared" si="1"/>
        <v>113892.976</v>
      </c>
      <c r="U31" s="14"/>
      <c r="XDP31" s="19"/>
      <c r="XDQ31" s="19"/>
      <c r="XDR31" s="19"/>
      <c r="XDS31" s="19"/>
      <c r="XDT31" s="19"/>
      <c r="XDU31" s="19"/>
      <c r="XDV31" s="19"/>
      <c r="XDW31" s="19"/>
      <c r="XDX31" s="19"/>
      <c r="XDY31" s="19"/>
    </row>
    <row r="32" s="3" customFormat="1" ht="27" customHeight="1" spans="1:16353">
      <c r="A32" s="9">
        <v>45929</v>
      </c>
      <c r="B32" s="10">
        <v>204.2</v>
      </c>
      <c r="C32" s="10">
        <v>409.92</v>
      </c>
      <c r="D32" s="10">
        <v>304.9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>
        <v>2990.68</v>
      </c>
      <c r="P32" s="10"/>
      <c r="Q32" s="10"/>
      <c r="R32" s="10">
        <f t="shared" si="0"/>
        <v>3909.7</v>
      </c>
      <c r="S32" s="14">
        <v>4306.9</v>
      </c>
      <c r="T32" s="15">
        <f t="shared" si="1"/>
        <v>113495.776</v>
      </c>
      <c r="U32" s="14"/>
      <c r="XDP32" s="19"/>
      <c r="XDQ32" s="19"/>
      <c r="XDR32" s="19"/>
      <c r="XDS32" s="19"/>
      <c r="XDT32" s="19"/>
      <c r="XDU32" s="19"/>
      <c r="XDV32" s="19"/>
      <c r="XDW32" s="19"/>
      <c r="XDX32" s="19"/>
      <c r="XDY32" s="19"/>
    </row>
    <row r="33" s="3" customFormat="1" ht="26" customHeight="1" spans="1:16353">
      <c r="A33" s="9">
        <v>45930</v>
      </c>
      <c r="B33" s="10">
        <v>353.48</v>
      </c>
      <c r="C33" s="10">
        <v>153.88</v>
      </c>
      <c r="D33" s="10"/>
      <c r="E33" s="10"/>
      <c r="F33" s="10"/>
      <c r="G33" s="10"/>
      <c r="H33" s="10"/>
      <c r="I33" s="10"/>
      <c r="J33" s="10"/>
      <c r="K33" s="10"/>
      <c r="L33" s="10">
        <v>2743.7</v>
      </c>
      <c r="M33" s="10"/>
      <c r="N33" s="10"/>
      <c r="O33" s="10"/>
      <c r="P33" s="10"/>
      <c r="Q33" s="10"/>
      <c r="R33" s="10">
        <f t="shared" si="0"/>
        <v>3251.06</v>
      </c>
      <c r="S33" s="14">
        <v>2460</v>
      </c>
      <c r="T33" s="15">
        <f t="shared" si="1"/>
        <v>114286.836</v>
      </c>
      <c r="U33" s="14"/>
      <c r="XDP33" s="19"/>
      <c r="XDQ33" s="19"/>
      <c r="XDR33" s="19"/>
      <c r="XDS33" s="19"/>
      <c r="XDT33" s="19"/>
      <c r="XDU33" s="19"/>
      <c r="XDV33" s="19"/>
      <c r="XDW33" s="19"/>
      <c r="XDX33" s="19"/>
      <c r="XDY33" s="19"/>
    </row>
    <row r="34" s="3" customFormat="1" ht="27" customHeight="1" spans="1:16353">
      <c r="A34" s="11" t="s">
        <v>30</v>
      </c>
      <c r="B34" s="11">
        <f t="shared" ref="B34:G34" si="2">SUM(B4:B33)</f>
        <v>1810.92</v>
      </c>
      <c r="C34" s="11">
        <f t="shared" si="2"/>
        <v>2873.1</v>
      </c>
      <c r="D34" s="11">
        <f t="shared" si="2"/>
        <v>2186.56</v>
      </c>
      <c r="E34" s="11">
        <f t="shared" si="2"/>
        <v>39805.19</v>
      </c>
      <c r="F34" s="11">
        <f t="shared" si="2"/>
        <v>3698.82</v>
      </c>
      <c r="G34" s="11">
        <f t="shared" si="2"/>
        <v>3976.24</v>
      </c>
      <c r="H34" s="11">
        <f t="shared" ref="H34:O34" si="3">SUM(H4:H33)</f>
        <v>142.1</v>
      </c>
      <c r="I34" s="11">
        <f t="shared" si="3"/>
        <v>6876.38</v>
      </c>
      <c r="J34" s="11">
        <f t="shared" si="3"/>
        <v>3472.02</v>
      </c>
      <c r="K34" s="11">
        <f t="shared" si="3"/>
        <v>0</v>
      </c>
      <c r="L34" s="11">
        <f t="shared" si="3"/>
        <v>19608</v>
      </c>
      <c r="M34" s="11">
        <f t="shared" si="3"/>
        <v>32347.5</v>
      </c>
      <c r="N34" s="11">
        <f t="shared" si="3"/>
        <v>6814.36</v>
      </c>
      <c r="O34" s="11">
        <f t="shared" si="3"/>
        <v>17764.88</v>
      </c>
      <c r="P34" s="11">
        <f t="shared" ref="P34:U34" si="4">SUM(P4:P33)</f>
        <v>0</v>
      </c>
      <c r="Q34" s="11">
        <f t="shared" si="4"/>
        <v>0</v>
      </c>
      <c r="R34" s="11">
        <f t="shared" si="4"/>
        <v>141376.07</v>
      </c>
      <c r="S34" s="11">
        <f t="shared" si="4"/>
        <v>147760.34</v>
      </c>
      <c r="T34" s="17"/>
      <c r="U34" s="14"/>
      <c r="XDP34" s="19"/>
      <c r="XDQ34" s="19"/>
      <c r="XDR34" s="19"/>
      <c r="XDS34" s="19"/>
      <c r="XDT34" s="19"/>
      <c r="XDU34" s="19"/>
      <c r="XDV34" s="19"/>
      <c r="XDW34" s="19"/>
      <c r="XDX34" s="19"/>
      <c r="XDY34" s="19"/>
    </row>
  </sheetData>
  <mergeCells count="9">
    <mergeCell ref="A1:U1"/>
    <mergeCell ref="B2:D2"/>
    <mergeCell ref="F2:G2"/>
    <mergeCell ref="H2:J2"/>
    <mergeCell ref="M2:O2"/>
    <mergeCell ref="P2:Q2"/>
    <mergeCell ref="A2:A3"/>
    <mergeCell ref="R2:R3"/>
    <mergeCell ref="S2:S3"/>
  </mergeCells>
  <printOptions horizontalCentered="1" verticalCentered="1"/>
  <pageMargins left="0.196527777777778" right="0.196527777777778" top="0.393055555555556" bottom="0.393055555555556" header="0.101388888888889" footer="0"/>
  <pageSetup paperSize="9" scale="56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2025-10-01T00:51:01Z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