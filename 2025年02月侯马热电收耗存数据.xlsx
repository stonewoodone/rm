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00" windowHeight="9675" tabRatio="672"/>
  </bookViews>
  <sheets>
    <sheet name="2025.0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<sst xmlns="http://schemas.openxmlformats.org/spreadsheetml/2006/main" count="26" uniqueCount="26">
  <si>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2025年2月侯马热电收耗存数据</t>
  </si>
  <si>
    <t>日期</t>
  </si>
  <si>
    <t>焦煤</t>
  </si>
  <si>
    <t>临汾</t>
  </si>
  <si>
    <t>太原煤气化</t>
  </si>
  <si>
    <t>煤业集团</t>
  </si>
  <si>
    <t>晋城公司</t>
  </si>
  <si>
    <t>合计来煤
（吨）</t>
  </si>
  <si>
    <t>皮带秤消耗（吨）</t>
  </si>
  <si>
    <t>库存（吨）</t>
  </si>
  <si>
    <t>备注</t>
  </si>
  <si>
    <t>金辛达(G)
1-1</t>
  </si>
  <si>
    <t>晋牛(G)
1-1</t>
  </si>
  <si>
    <t>昊兴塬(G)
2-1</t>
  </si>
  <si>
    <t>晋牛(G)
2-1</t>
  </si>
  <si>
    <t>三交河(G)
2-1</t>
  </si>
  <si>
    <t>雪坪(G)
2-1</t>
  </si>
  <si>
    <t>富康源(G)
1-1</t>
  </si>
  <si>
    <t>华泓（G）
2-1</t>
  </si>
  <si>
    <t>山凹（G）
2-1</t>
  </si>
  <si>
    <t>龙泉（T）
12-1</t>
  </si>
  <si>
    <t>北辛窑（T）10-1</t>
  </si>
  <si>
    <t>北辛窑（T）11-1</t>
  </si>
  <si>
    <t>四明山（G）
2-1</t>
  </si>
  <si>
    <t>野川（G）
2-1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</si>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</sst>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1">
    <font>
      <sz val="11"/>
      <color theme="1"/>
      <name val="宋体"/>
      <charset val="134"/>
      <scheme val="minor"/>
    </font>
    <font>
      <sz val="12"/>
      <name val="宋体"/>
      <charset val="134"/>
    </font>
    <font>
      <sz val="11"/>
      <name val="宋体"/>
      <charset val="134"/>
    </font>
    <font>
      <sz val="10"/>
      <name val="宋体"/>
      <charset val="134"/>
    </font>
    <font>
      <b/>
      <sz val="16"/>
      <name val="Microsoft YaHei"/>
      <charset val="134"/>
    </font>
    <font>
      <b/>
      <sz val="11"/>
      <name val="Microsoft YaHei"/>
      <charset val="134"/>
    </font>
    <font>
      <sz val="10"/>
      <color indexed="8"/>
      <name val="Microsoft YaHei"/>
      <charset val="134"/>
    </font>
    <font>
      <sz val="10"/>
      <name val="Microsoft YaHei"/>
      <charset val="134"/>
    </font>
    <font>
      <b/>
      <sz val="10"/>
      <name val="Microsoft YaHei"/>
      <charset val="134"/>
    </font>
    <font>
      <b/>
      <sz val="11"/>
      <color rgb="FF000000"/>
      <name val="Microsoft YaHei"/>
      <charset val="134"/>
    </font>
    <font>
      <sz val="11"/>
      <color indexed="8"/>
      <name val="宋体"/>
      <charset val="134"/>
    </font>
    <font>
      <sz val="10"/>
      <color indexed="8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3" borderId="6" applyNumberFormat="0" applyAlignment="0" applyProtection="0">
      <alignment vertical="center"/>
    </xf>
    <xf numFmtId="0" fontId="21" fillId="4" borderId="7" applyNumberFormat="0" applyAlignment="0" applyProtection="0">
      <alignment vertical="center"/>
    </xf>
    <xf numFmtId="0" fontId="22" fillId="4" borderId="6" applyNumberFormat="0" applyAlignment="0" applyProtection="0">
      <alignment vertical="center"/>
    </xf>
    <xf numFmtId="0" fontId="23" fillId="5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0" fillId="0" borderId="0" xfId="0" applyFont="1" applyFill="1" applyAlignment="1">
      <alignment vertical="center"/>
    </xf>
    <xf numFmtId="0" fontId="4" fillId="0" borderId="0" xfId="0" applyNumberFormat="1" applyFont="1" applyFill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14" fontId="6" fillId="0" borderId="1" xfId="0" applyNumberFormat="1" applyFont="1" applyFill="1" applyBorder="1" applyAlignment="1">
      <alignment horizontal="center" vertical="center" wrapText="1"/>
    </xf>
    <xf numFmtId="176" fontId="7" fillId="0" borderId="1" xfId="0" applyNumberFormat="1" applyFont="1" applyFill="1" applyBorder="1" applyAlignment="1">
      <alignment horizontal="center" vertical="center" wrapText="1"/>
    </xf>
    <xf numFmtId="176" fontId="8" fillId="0" borderId="1" xfId="0" applyNumberFormat="1" applyFont="1" applyFill="1" applyBorder="1" applyAlignment="1">
      <alignment horizontal="center" vertical="center" wrapText="1"/>
    </xf>
    <xf numFmtId="0" fontId="7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176" fontId="9" fillId="0" borderId="2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10" fillId="0" borderId="0" xfId="0" applyFont="1" applyFill="1" applyAlignment="1">
      <alignment vertical="center"/>
    </xf>
    <xf numFmtId="0" fontId="1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0"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1" defaultTableStyle="TableStyleMedium2" defaultPivotStyle="PivotStylePreset2_Accent1"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A35"/>
  <sheetViews>
    <sheetView tabSelected="1" zoomScale="80" zoomScaleNormal="80" workbookViewId="0">
      <pane ySplit="3" topLeftCell="A4" activePane="bottomLeft" state="frozen"/>
      <selection/>
      <selection pane="bottomLeft" activeCell="U12" sqref="U12"/>
    </sheetView>
  </sheetViews>
  <sheetFormatPr defaultColWidth="9.65" defaultRowHeight="13.5"/>
  <cols>
    <col min="1" max="1" width="12.8666666666667" style="4" customWidth="1"/>
    <col min="2" max="10" width="10.5333333333333" style="4" customWidth="1"/>
    <col min="11" max="11" width="12" style="4" customWidth="1"/>
    <col min="12" max="13" width="12.05" style="4" customWidth="1"/>
    <col min="14" max="15" width="12.3083333333333" style="4" customWidth="1"/>
    <col min="16" max="17" width="12.8666666666667" style="4" customWidth="1"/>
    <col min="18" max="18" width="14.8333333333333" style="4" customWidth="1"/>
    <col min="19" max="19" width="8.94166666666667" style="4" customWidth="1"/>
    <col min="20" max="16345" width="8.94166666666667" style="4"/>
    <col min="16346" max="16354" width="9.69166666666667" style="4"/>
    <col min="16355" max="16372" width="9.68333333333333" style="4"/>
  </cols>
  <sheetData>
    <row r="1" s="1" customFormat="1" ht="34" customHeight="1" spans="1:19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</row>
    <row r="2" s="2" customFormat="1" ht="30" customHeight="1" spans="1:16355">
      <c r="A2" s="6" t="s">
        <v>1</v>
      </c>
      <c r="B2" s="6" t="s">
        <v>2</v>
      </c>
      <c r="C2" s="6"/>
      <c r="D2" s="6"/>
      <c r="E2" s="6"/>
      <c r="F2" s="6"/>
      <c r="G2" s="6"/>
      <c r="H2" s="6" t="s">
        <v>3</v>
      </c>
      <c r="I2" s="6" t="s">
        <v>4</v>
      </c>
      <c r="J2" s="6"/>
      <c r="K2" s="6"/>
      <c r="L2" s="6" t="s">
        <v>5</v>
      </c>
      <c r="M2" s="6"/>
      <c r="N2" s="6" t="s">
        <v>6</v>
      </c>
      <c r="O2" s="6"/>
      <c r="P2" s="6" t="s">
        <v>7</v>
      </c>
      <c r="Q2" s="6" t="s">
        <v>8</v>
      </c>
      <c r="R2" s="11" t="s">
        <v>9</v>
      </c>
      <c r="S2" s="11" t="s">
        <v>10</v>
      </c>
      <c r="XDR2" s="14"/>
      <c r="XDS2" s="14"/>
      <c r="XDT2" s="14"/>
      <c r="XDU2" s="14"/>
      <c r="XDV2" s="14"/>
      <c r="XDW2" s="14"/>
      <c r="XDX2" s="14"/>
      <c r="XDY2" s="14"/>
      <c r="XDZ2" s="14"/>
      <c r="XEA2" s="14"/>
    </row>
    <row r="3" s="2" customFormat="1" ht="39" customHeight="1" spans="1:16355">
      <c r="A3" s="6"/>
      <c r="B3" s="6" t="s">
        <v>11</v>
      </c>
      <c r="C3" s="6" t="s">
        <v>12</v>
      </c>
      <c r="D3" s="6" t="s">
        <v>13</v>
      </c>
      <c r="E3" s="6" t="s">
        <v>14</v>
      </c>
      <c r="F3" s="6" t="s">
        <v>15</v>
      </c>
      <c r="G3" s="6" t="s">
        <v>16</v>
      </c>
      <c r="H3" s="6" t="s">
        <v>17</v>
      </c>
      <c r="I3" s="6" t="s">
        <v>18</v>
      </c>
      <c r="J3" s="6" t="s">
        <v>19</v>
      </c>
      <c r="K3" s="6" t="s">
        <v>20</v>
      </c>
      <c r="L3" s="6" t="s">
        <v>21</v>
      </c>
      <c r="M3" s="6" t="s">
        <v>22</v>
      </c>
      <c r="N3" s="6" t="s">
        <v>23</v>
      </c>
      <c r="O3" s="6" t="s">
        <v>24</v>
      </c>
      <c r="P3" s="6"/>
      <c r="Q3" s="6"/>
      <c r="R3" s="12">
        <v>67714.91</v>
      </c>
      <c r="S3" s="11"/>
      <c r="XDR3" s="14"/>
      <c r="XDS3" s="14"/>
      <c r="XDT3" s="14"/>
      <c r="XDU3" s="14"/>
      <c r="XDV3" s="14"/>
      <c r="XDW3" s="14"/>
      <c r="XDX3" s="14"/>
      <c r="XDY3" s="14"/>
      <c r="XDZ3" s="14"/>
      <c r="XEA3" s="14"/>
    </row>
    <row r="4" s="3" customFormat="1" ht="27" customHeight="1" spans="1:16355">
      <c r="A4" s="7">
        <v>45689</v>
      </c>
      <c r="B4" s="8"/>
      <c r="C4" s="8"/>
      <c r="D4" s="8"/>
      <c r="E4" s="8"/>
      <c r="F4" s="8"/>
      <c r="G4" s="8"/>
      <c r="H4" s="8">
        <v>1104.14</v>
      </c>
      <c r="I4" s="8"/>
      <c r="J4" s="8"/>
      <c r="K4" s="8">
        <v>1898.92</v>
      </c>
      <c r="L4" s="8"/>
      <c r="M4" s="8"/>
      <c r="N4" s="8"/>
      <c r="O4" s="8"/>
      <c r="P4" s="10">
        <f t="shared" ref="P4:P31" si="0">SUM(B4:O4)</f>
        <v>3003.06</v>
      </c>
      <c r="Q4" s="13">
        <v>6071</v>
      </c>
      <c r="R4" s="8">
        <f t="shared" ref="R4:R31" si="1">R3+P4-Q4</f>
        <v>64646.97</v>
      </c>
      <c r="S4" s="13"/>
      <c r="XDR4" s="15"/>
      <c r="XDS4" s="15"/>
      <c r="XDT4" s="15"/>
      <c r="XDU4" s="15"/>
      <c r="XDV4" s="15"/>
      <c r="XDW4" s="15"/>
      <c r="XDX4" s="15"/>
      <c r="XDY4" s="15"/>
      <c r="XDZ4" s="15"/>
      <c r="XEA4" s="15"/>
    </row>
    <row r="5" s="3" customFormat="1" ht="27" customHeight="1" spans="1:16355">
      <c r="A5" s="7">
        <v>45690</v>
      </c>
      <c r="B5" s="8"/>
      <c r="C5" s="8"/>
      <c r="D5" s="8"/>
      <c r="E5" s="8"/>
      <c r="F5" s="8"/>
      <c r="G5" s="8"/>
      <c r="H5" s="8">
        <v>1278.02</v>
      </c>
      <c r="I5" s="8"/>
      <c r="J5" s="8"/>
      <c r="K5" s="8">
        <v>992.06</v>
      </c>
      <c r="L5" s="8"/>
      <c r="M5" s="8"/>
      <c r="N5" s="8"/>
      <c r="O5" s="8"/>
      <c r="P5" s="10">
        <f t="shared" si="0"/>
        <v>2270.08</v>
      </c>
      <c r="Q5" s="13">
        <v>6094</v>
      </c>
      <c r="R5" s="8">
        <f t="shared" si="1"/>
        <v>60823.05</v>
      </c>
      <c r="S5" s="13"/>
      <c r="XDR5" s="15"/>
      <c r="XDS5" s="15"/>
      <c r="XDT5" s="15"/>
      <c r="XDU5" s="15"/>
      <c r="XDV5" s="15"/>
      <c r="XDW5" s="15"/>
      <c r="XDX5" s="15"/>
      <c r="XDY5" s="15"/>
      <c r="XDZ5" s="15"/>
      <c r="XEA5" s="15"/>
    </row>
    <row r="6" s="3" customFormat="1" ht="27" customHeight="1" spans="1:16355">
      <c r="A6" s="7">
        <v>45691</v>
      </c>
      <c r="B6" s="8"/>
      <c r="C6" s="8">
        <v>352.16</v>
      </c>
      <c r="D6" s="8"/>
      <c r="E6" s="8"/>
      <c r="F6" s="8"/>
      <c r="G6" s="8">
        <v>1662.88</v>
      </c>
      <c r="H6" s="8">
        <v>1859.8</v>
      </c>
      <c r="I6" s="8">
        <v>1694.44</v>
      </c>
      <c r="J6" s="8"/>
      <c r="K6" s="8">
        <v>2697.62</v>
      </c>
      <c r="L6" s="8"/>
      <c r="M6" s="8"/>
      <c r="N6" s="8">
        <v>147.48</v>
      </c>
      <c r="O6" s="8"/>
      <c r="P6" s="10">
        <f t="shared" si="0"/>
        <v>8414.38</v>
      </c>
      <c r="Q6" s="13">
        <v>5977</v>
      </c>
      <c r="R6" s="8">
        <f t="shared" si="1"/>
        <v>63260.43</v>
      </c>
      <c r="S6" s="13"/>
      <c r="XDR6" s="15"/>
      <c r="XDS6" s="15"/>
      <c r="XDT6" s="15"/>
      <c r="XDU6" s="15"/>
      <c r="XDV6" s="15"/>
      <c r="XDW6" s="15"/>
      <c r="XDX6" s="15"/>
      <c r="XDY6" s="15"/>
      <c r="XDZ6" s="15"/>
      <c r="XEA6" s="15"/>
    </row>
    <row r="7" s="3" customFormat="1" ht="27" customHeight="1" spans="1:16355">
      <c r="A7" s="7">
        <v>45692</v>
      </c>
      <c r="B7" s="8">
        <v>873.52</v>
      </c>
      <c r="C7" s="8">
        <v>1219.36</v>
      </c>
      <c r="D7" s="8"/>
      <c r="E7" s="8"/>
      <c r="F7" s="8"/>
      <c r="G7" s="8">
        <v>1431</v>
      </c>
      <c r="H7" s="8">
        <v>2609.76</v>
      </c>
      <c r="I7" s="8">
        <v>963.32</v>
      </c>
      <c r="J7" s="8">
        <v>1951.66</v>
      </c>
      <c r="K7" s="8"/>
      <c r="L7" s="8">
        <v>2899.96</v>
      </c>
      <c r="M7" s="8"/>
      <c r="N7" s="8">
        <v>117.82</v>
      </c>
      <c r="O7" s="8"/>
      <c r="P7" s="10">
        <f t="shared" si="0"/>
        <v>12066.4</v>
      </c>
      <c r="Q7" s="13">
        <v>6260</v>
      </c>
      <c r="R7" s="8">
        <f t="shared" si="1"/>
        <v>69066.83</v>
      </c>
      <c r="S7" s="13"/>
      <c r="XDR7" s="15"/>
      <c r="XDS7" s="15"/>
      <c r="XDT7" s="15"/>
      <c r="XDU7" s="15"/>
      <c r="XDV7" s="15"/>
      <c r="XDW7" s="15"/>
      <c r="XDX7" s="15"/>
      <c r="XDY7" s="15"/>
      <c r="XDZ7" s="15"/>
      <c r="XEA7" s="15"/>
    </row>
    <row r="8" s="3" customFormat="1" ht="27" customHeight="1" spans="1:16355">
      <c r="A8" s="7">
        <v>45693</v>
      </c>
      <c r="B8" s="8">
        <v>1085.32</v>
      </c>
      <c r="C8" s="8">
        <v>815.3</v>
      </c>
      <c r="D8" s="8"/>
      <c r="E8" s="8">
        <v>385.34</v>
      </c>
      <c r="F8" s="8"/>
      <c r="G8" s="8">
        <v>1291.82</v>
      </c>
      <c r="H8" s="8"/>
      <c r="I8" s="8">
        <v>2639.54</v>
      </c>
      <c r="J8" s="8">
        <v>2951.29</v>
      </c>
      <c r="K8" s="8"/>
      <c r="L8" s="8">
        <v>3275.5</v>
      </c>
      <c r="M8" s="8"/>
      <c r="N8" s="8">
        <v>415.1</v>
      </c>
      <c r="O8" s="8">
        <v>95.08</v>
      </c>
      <c r="P8" s="10">
        <f t="shared" si="0"/>
        <v>12954.29</v>
      </c>
      <c r="Q8" s="13">
        <v>6329</v>
      </c>
      <c r="R8" s="8">
        <f t="shared" si="1"/>
        <v>75692.12</v>
      </c>
      <c r="S8" s="13"/>
      <c r="XDR8" s="15"/>
      <c r="XDS8" s="15"/>
      <c r="XDT8" s="15"/>
      <c r="XDU8" s="15"/>
      <c r="XDV8" s="15"/>
      <c r="XDW8" s="15"/>
      <c r="XDX8" s="15"/>
      <c r="XDY8" s="15"/>
      <c r="XDZ8" s="15"/>
      <c r="XEA8" s="15"/>
    </row>
    <row r="9" s="3" customFormat="1" ht="27" customHeight="1" spans="1:16355">
      <c r="A9" s="7">
        <v>45694</v>
      </c>
      <c r="B9" s="8"/>
      <c r="C9" s="8"/>
      <c r="D9" s="8"/>
      <c r="E9" s="8">
        <v>159.56</v>
      </c>
      <c r="F9" s="8"/>
      <c r="G9" s="8">
        <v>576.96</v>
      </c>
      <c r="H9" s="8">
        <v>1923.9</v>
      </c>
      <c r="I9" s="8">
        <v>2564.08</v>
      </c>
      <c r="J9" s="8">
        <v>2678.34</v>
      </c>
      <c r="K9" s="8">
        <v>3328.34</v>
      </c>
      <c r="L9" s="8"/>
      <c r="M9" s="8"/>
      <c r="N9" s="8"/>
      <c r="O9" s="8">
        <v>221.46</v>
      </c>
      <c r="P9" s="10">
        <f t="shared" si="0"/>
        <v>11452.64</v>
      </c>
      <c r="Q9" s="13">
        <v>7085</v>
      </c>
      <c r="R9" s="8">
        <f t="shared" si="1"/>
        <v>80059.76</v>
      </c>
      <c r="S9" s="13"/>
      <c r="XDR9" s="15"/>
      <c r="XDS9" s="15"/>
      <c r="XDT9" s="15"/>
      <c r="XDU9" s="15"/>
      <c r="XDV9" s="15"/>
      <c r="XDW9" s="15"/>
      <c r="XDX9" s="15"/>
      <c r="XDY9" s="15"/>
      <c r="XDZ9" s="15"/>
      <c r="XEA9" s="15"/>
    </row>
    <row r="10" s="3" customFormat="1" ht="27" customHeight="1" spans="1:16355">
      <c r="A10" s="7">
        <v>45695</v>
      </c>
      <c r="B10" s="8"/>
      <c r="C10" s="8"/>
      <c r="D10" s="8"/>
      <c r="E10" s="8"/>
      <c r="F10" s="8"/>
      <c r="G10" s="8"/>
      <c r="H10" s="8">
        <v>1719.68</v>
      </c>
      <c r="I10" s="8">
        <v>3487.84</v>
      </c>
      <c r="J10" s="8"/>
      <c r="K10" s="8"/>
      <c r="L10" s="8">
        <v>3851.02</v>
      </c>
      <c r="M10" s="8"/>
      <c r="N10" s="8"/>
      <c r="O10" s="8">
        <v>191.16</v>
      </c>
      <c r="P10" s="10">
        <f t="shared" si="0"/>
        <v>9249.7</v>
      </c>
      <c r="Q10" s="13">
        <v>7007</v>
      </c>
      <c r="R10" s="8">
        <f t="shared" si="1"/>
        <v>82302.46</v>
      </c>
      <c r="S10" s="13"/>
      <c r="XDR10" s="15"/>
      <c r="XDS10" s="15"/>
      <c r="XDT10" s="15"/>
      <c r="XDU10" s="15"/>
      <c r="XDV10" s="15"/>
      <c r="XDW10" s="15"/>
      <c r="XDX10" s="15"/>
      <c r="XDY10" s="15"/>
      <c r="XDZ10" s="15"/>
      <c r="XEA10" s="15"/>
    </row>
    <row r="11" s="3" customFormat="1" ht="27" customHeight="1" spans="1:16355">
      <c r="A11" s="7">
        <v>45696</v>
      </c>
      <c r="B11" s="8"/>
      <c r="C11" s="8"/>
      <c r="D11" s="8"/>
      <c r="E11" s="8"/>
      <c r="F11" s="8"/>
      <c r="G11" s="8"/>
      <c r="H11" s="8">
        <v>2210.44</v>
      </c>
      <c r="I11" s="8">
        <v>1082.52</v>
      </c>
      <c r="J11" s="8"/>
      <c r="K11" s="8"/>
      <c r="L11" s="8">
        <v>4527.86</v>
      </c>
      <c r="M11" s="8"/>
      <c r="N11" s="8"/>
      <c r="O11" s="8">
        <v>192.28</v>
      </c>
      <c r="P11" s="10">
        <f t="shared" si="0"/>
        <v>8013.1</v>
      </c>
      <c r="Q11" s="13">
        <v>7206</v>
      </c>
      <c r="R11" s="8">
        <f t="shared" si="1"/>
        <v>83109.56</v>
      </c>
      <c r="S11" s="13"/>
      <c r="XDR11" s="15"/>
      <c r="XDS11" s="15"/>
      <c r="XDT11" s="15"/>
      <c r="XDU11" s="15"/>
      <c r="XDV11" s="15"/>
      <c r="XDW11" s="15"/>
      <c r="XDX11" s="15"/>
      <c r="XDY11" s="15"/>
      <c r="XDZ11" s="15"/>
      <c r="XEA11" s="15"/>
    </row>
    <row r="12" s="3" customFormat="1" ht="27" customHeight="1" spans="1:16355">
      <c r="A12" s="7">
        <v>45697</v>
      </c>
      <c r="B12" s="8"/>
      <c r="C12" s="8"/>
      <c r="D12" s="8"/>
      <c r="E12" s="8"/>
      <c r="F12" s="8">
        <v>1209.16</v>
      </c>
      <c r="G12" s="8"/>
      <c r="H12" s="8">
        <v>1401.08</v>
      </c>
      <c r="I12" s="8"/>
      <c r="J12" s="8">
        <v>4595.74</v>
      </c>
      <c r="K12" s="8"/>
      <c r="L12" s="8">
        <v>2033.56</v>
      </c>
      <c r="M12" s="8">
        <v>2359.1</v>
      </c>
      <c r="N12" s="8">
        <v>945.54</v>
      </c>
      <c r="O12" s="8"/>
      <c r="P12" s="10">
        <f t="shared" si="0"/>
        <v>12544.18</v>
      </c>
      <c r="Q12" s="13">
        <v>6843</v>
      </c>
      <c r="R12" s="8">
        <f>R11+P12-Q12</f>
        <v>88810.74</v>
      </c>
      <c r="S12" s="13"/>
      <c r="XDR12" s="15"/>
      <c r="XDS12" s="15"/>
      <c r="XDT12" s="15"/>
      <c r="XDU12" s="15"/>
      <c r="XDV12" s="15"/>
      <c r="XDW12" s="15"/>
      <c r="XDX12" s="15"/>
      <c r="XDY12" s="15"/>
      <c r="XDZ12" s="15"/>
      <c r="XEA12" s="15"/>
    </row>
    <row r="13" s="3" customFormat="1" ht="27" customHeight="1" spans="1:16355">
      <c r="A13" s="7">
        <v>45698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10">
        <f t="shared" si="0"/>
        <v>0</v>
      </c>
      <c r="Q13" s="13"/>
      <c r="R13" s="8">
        <f t="shared" si="1"/>
        <v>88810.74</v>
      </c>
      <c r="S13" s="13"/>
      <c r="XDR13" s="15"/>
      <c r="XDS13" s="15"/>
      <c r="XDT13" s="15"/>
      <c r="XDU13" s="15"/>
      <c r="XDV13" s="15"/>
      <c r="XDW13" s="15"/>
      <c r="XDX13" s="15"/>
      <c r="XDY13" s="15"/>
      <c r="XDZ13" s="15"/>
      <c r="XEA13" s="15"/>
    </row>
    <row r="14" s="3" customFormat="1" ht="27" customHeight="1" spans="1:16355">
      <c r="A14" s="7">
        <v>45699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10">
        <f t="shared" si="0"/>
        <v>0</v>
      </c>
      <c r="Q14" s="13"/>
      <c r="R14" s="8">
        <f t="shared" si="1"/>
        <v>88810.74</v>
      </c>
      <c r="S14" s="13"/>
      <c r="XDR14" s="15"/>
      <c r="XDS14" s="15"/>
      <c r="XDT14" s="15"/>
      <c r="XDU14" s="15"/>
      <c r="XDV14" s="15"/>
      <c r="XDW14" s="15"/>
      <c r="XDX14" s="15"/>
      <c r="XDY14" s="15"/>
      <c r="XDZ14" s="15"/>
      <c r="XEA14" s="15"/>
    </row>
    <row r="15" s="3" customFormat="1" ht="27" customHeight="1" spans="1:16355">
      <c r="A15" s="7">
        <v>45700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10">
        <f t="shared" si="0"/>
        <v>0</v>
      </c>
      <c r="Q15" s="13"/>
      <c r="R15" s="8">
        <f t="shared" si="1"/>
        <v>88810.74</v>
      </c>
      <c r="S15" s="13"/>
      <c r="XDR15" s="15"/>
      <c r="XDS15" s="15"/>
      <c r="XDT15" s="15"/>
      <c r="XDU15" s="15"/>
      <c r="XDV15" s="15"/>
      <c r="XDW15" s="15"/>
      <c r="XDX15" s="15"/>
      <c r="XDY15" s="15"/>
      <c r="XDZ15" s="15"/>
      <c r="XEA15" s="15"/>
    </row>
    <row r="16" s="3" customFormat="1" ht="27" customHeight="1" spans="1:16355">
      <c r="A16" s="7">
        <v>45701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10">
        <f t="shared" si="0"/>
        <v>0</v>
      </c>
      <c r="Q16" s="13"/>
      <c r="R16" s="8">
        <f t="shared" si="1"/>
        <v>88810.74</v>
      </c>
      <c r="S16" s="13"/>
      <c r="XDR16" s="15"/>
      <c r="XDS16" s="15"/>
      <c r="XDT16" s="15"/>
      <c r="XDU16" s="15"/>
      <c r="XDV16" s="15"/>
      <c r="XDW16" s="15"/>
      <c r="XDX16" s="15"/>
      <c r="XDY16" s="15"/>
      <c r="XDZ16" s="15"/>
      <c r="XEA16" s="15"/>
    </row>
    <row r="17" s="3" customFormat="1" ht="27" customHeight="1" spans="1:16355">
      <c r="A17" s="7">
        <v>45702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10">
        <f t="shared" si="0"/>
        <v>0</v>
      </c>
      <c r="Q17" s="13"/>
      <c r="R17" s="8">
        <f t="shared" si="1"/>
        <v>88810.74</v>
      </c>
      <c r="S17" s="13"/>
      <c r="XDR17" s="15"/>
      <c r="XDS17" s="15"/>
      <c r="XDT17" s="15"/>
      <c r="XDU17" s="15"/>
      <c r="XDV17" s="15"/>
      <c r="XDW17" s="15"/>
      <c r="XDX17" s="15"/>
      <c r="XDY17" s="15"/>
      <c r="XDZ17" s="15"/>
      <c r="XEA17" s="15"/>
    </row>
    <row r="18" s="3" customFormat="1" ht="27" customHeight="1" spans="1:16355">
      <c r="A18" s="7">
        <v>45703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10">
        <f t="shared" si="0"/>
        <v>0</v>
      </c>
      <c r="Q18" s="13"/>
      <c r="R18" s="8">
        <f t="shared" si="1"/>
        <v>88810.74</v>
      </c>
      <c r="S18" s="13"/>
      <c r="XDR18" s="15"/>
      <c r="XDS18" s="15"/>
      <c r="XDT18" s="15"/>
      <c r="XDU18" s="15"/>
      <c r="XDV18" s="15"/>
      <c r="XDW18" s="15"/>
      <c r="XDX18" s="15"/>
      <c r="XDY18" s="15"/>
      <c r="XDZ18" s="15"/>
      <c r="XEA18" s="15"/>
    </row>
    <row r="19" s="3" customFormat="1" ht="27" customHeight="1" spans="1:16355">
      <c r="A19" s="7">
        <v>45704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10">
        <f t="shared" si="0"/>
        <v>0</v>
      </c>
      <c r="Q19" s="13"/>
      <c r="R19" s="8">
        <f t="shared" si="1"/>
        <v>88810.74</v>
      </c>
      <c r="S19" s="13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</row>
    <row r="20" s="3" customFormat="1" ht="27" customHeight="1" spans="1:16355">
      <c r="A20" s="7">
        <v>45705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10">
        <f t="shared" si="0"/>
        <v>0</v>
      </c>
      <c r="Q20" s="13"/>
      <c r="R20" s="8">
        <f t="shared" si="1"/>
        <v>88810.74</v>
      </c>
      <c r="S20" s="13"/>
      <c r="XDR20" s="15"/>
      <c r="XDS20" s="15"/>
      <c r="XDT20" s="15"/>
      <c r="XDU20" s="15"/>
      <c r="XDV20" s="15"/>
      <c r="XDW20" s="15"/>
      <c r="XDX20" s="15"/>
      <c r="XDY20" s="15"/>
      <c r="XDZ20" s="15"/>
      <c r="XEA20" s="15"/>
    </row>
    <row r="21" s="3" customFormat="1" ht="27" customHeight="1" spans="1:16355">
      <c r="A21" s="7">
        <v>45706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10">
        <f t="shared" si="0"/>
        <v>0</v>
      </c>
      <c r="Q21" s="13"/>
      <c r="R21" s="8">
        <f t="shared" si="1"/>
        <v>88810.74</v>
      </c>
      <c r="S21" s="13"/>
      <c r="XDR21" s="15"/>
      <c r="XDS21" s="15"/>
      <c r="XDT21" s="15"/>
      <c r="XDU21" s="15"/>
      <c r="XDV21" s="15"/>
      <c r="XDW21" s="15"/>
      <c r="XDX21" s="15"/>
      <c r="XDY21" s="15"/>
      <c r="XDZ21" s="15"/>
      <c r="XEA21" s="15"/>
    </row>
    <row r="22" s="3" customFormat="1" ht="27" customHeight="1" spans="1:16355">
      <c r="A22" s="7">
        <v>45707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10">
        <f t="shared" si="0"/>
        <v>0</v>
      </c>
      <c r="Q22" s="13"/>
      <c r="R22" s="8">
        <f t="shared" si="1"/>
        <v>88810.74</v>
      </c>
      <c r="S22" s="13"/>
      <c r="XDR22" s="15"/>
      <c r="XDS22" s="15"/>
      <c r="XDT22" s="15"/>
      <c r="XDU22" s="15"/>
      <c r="XDV22" s="15"/>
      <c r="XDW22" s="15"/>
      <c r="XDX22" s="15"/>
      <c r="XDY22" s="15"/>
      <c r="XDZ22" s="15"/>
      <c r="XEA22" s="15"/>
    </row>
    <row r="23" s="3" customFormat="1" ht="27" customHeight="1" spans="1:16355">
      <c r="A23" s="7">
        <v>45708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10">
        <f t="shared" si="0"/>
        <v>0</v>
      </c>
      <c r="Q23" s="13"/>
      <c r="R23" s="8">
        <f t="shared" si="1"/>
        <v>88810.74</v>
      </c>
      <c r="S23" s="13"/>
      <c r="XDR23" s="15"/>
      <c r="XDS23" s="15"/>
      <c r="XDT23" s="15"/>
      <c r="XDU23" s="15"/>
      <c r="XDV23" s="15"/>
      <c r="XDW23" s="15"/>
      <c r="XDX23" s="15"/>
      <c r="XDY23" s="15"/>
      <c r="XDZ23" s="15"/>
      <c r="XEA23" s="15"/>
    </row>
    <row r="24" s="3" customFormat="1" ht="27" customHeight="1" spans="1:16355">
      <c r="A24" s="7">
        <v>45709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10">
        <f t="shared" si="0"/>
        <v>0</v>
      </c>
      <c r="Q24" s="13"/>
      <c r="R24" s="8">
        <f t="shared" si="1"/>
        <v>88810.74</v>
      </c>
      <c r="S24" s="13"/>
      <c r="XDR24" s="15"/>
      <c r="XDS24" s="15"/>
      <c r="XDT24" s="15"/>
      <c r="XDU24" s="15"/>
      <c r="XDV24" s="15"/>
      <c r="XDW24" s="15"/>
      <c r="XDX24" s="15"/>
      <c r="XDY24" s="15"/>
      <c r="XDZ24" s="15"/>
      <c r="XEA24" s="15"/>
    </row>
    <row r="25" s="3" customFormat="1" ht="27" customHeight="1" spans="1:16355">
      <c r="A25" s="7">
        <v>45710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10">
        <f t="shared" si="0"/>
        <v>0</v>
      </c>
      <c r="Q25" s="13"/>
      <c r="R25" s="8">
        <f t="shared" si="1"/>
        <v>88810.74</v>
      </c>
      <c r="S25" s="13"/>
      <c r="XDR25" s="15"/>
      <c r="XDS25" s="15"/>
      <c r="XDT25" s="15"/>
      <c r="XDU25" s="15"/>
      <c r="XDV25" s="15"/>
      <c r="XDW25" s="15"/>
      <c r="XDX25" s="15"/>
      <c r="XDY25" s="15"/>
      <c r="XDZ25" s="15"/>
      <c r="XEA25" s="15"/>
    </row>
    <row r="26" s="3" customFormat="1" ht="27" customHeight="1" spans="1:16355">
      <c r="A26" s="7">
        <v>45711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10">
        <f t="shared" si="0"/>
        <v>0</v>
      </c>
      <c r="Q26" s="13"/>
      <c r="R26" s="8">
        <f t="shared" si="1"/>
        <v>88810.74</v>
      </c>
      <c r="S26" s="13"/>
      <c r="XDR26" s="15"/>
      <c r="XDS26" s="15"/>
      <c r="XDT26" s="15"/>
      <c r="XDU26" s="15"/>
      <c r="XDV26" s="15"/>
      <c r="XDW26" s="15"/>
      <c r="XDX26" s="15"/>
      <c r="XDY26" s="15"/>
      <c r="XDZ26" s="15"/>
      <c r="XEA26" s="15"/>
    </row>
    <row r="27" s="3" customFormat="1" ht="27" customHeight="1" spans="1:16355">
      <c r="A27" s="7">
        <v>45712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10">
        <f t="shared" si="0"/>
        <v>0</v>
      </c>
      <c r="Q27" s="13"/>
      <c r="R27" s="8">
        <f t="shared" si="1"/>
        <v>88810.74</v>
      </c>
      <c r="S27" s="13"/>
      <c r="XDR27" s="15"/>
      <c r="XDS27" s="15"/>
      <c r="XDT27" s="15"/>
      <c r="XDU27" s="15"/>
      <c r="XDV27" s="15"/>
      <c r="XDW27" s="15"/>
      <c r="XDX27" s="15"/>
      <c r="XDY27" s="15"/>
      <c r="XDZ27" s="15"/>
      <c r="XEA27" s="15"/>
    </row>
    <row r="28" s="3" customFormat="1" ht="27" customHeight="1" spans="1:16355">
      <c r="A28" s="7">
        <v>45713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10">
        <f t="shared" si="0"/>
        <v>0</v>
      </c>
      <c r="Q28" s="13"/>
      <c r="R28" s="8">
        <f t="shared" si="1"/>
        <v>88810.74</v>
      </c>
      <c r="S28" s="13"/>
      <c r="XDR28" s="15"/>
      <c r="XDS28" s="15"/>
      <c r="XDT28" s="15"/>
      <c r="XDU28" s="15"/>
      <c r="XDV28" s="15"/>
      <c r="XDW28" s="15"/>
      <c r="XDX28" s="15"/>
      <c r="XDY28" s="15"/>
      <c r="XDZ28" s="15"/>
      <c r="XEA28" s="15"/>
    </row>
    <row r="29" s="3" customFormat="1" ht="27" customHeight="1" spans="1:16355">
      <c r="A29" s="7">
        <v>45714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10">
        <f t="shared" si="0"/>
        <v>0</v>
      </c>
      <c r="Q29" s="13"/>
      <c r="R29" s="8">
        <f t="shared" si="1"/>
        <v>88810.74</v>
      </c>
      <c r="S29" s="13"/>
      <c r="XDR29" s="15"/>
      <c r="XDS29" s="15"/>
      <c r="XDT29" s="15"/>
      <c r="XDU29" s="15"/>
      <c r="XDV29" s="15"/>
      <c r="XDW29" s="15"/>
      <c r="XDX29" s="15"/>
      <c r="XDY29" s="15"/>
      <c r="XDZ29" s="15"/>
      <c r="XEA29" s="15"/>
    </row>
    <row r="30" s="3" customFormat="1" ht="27" customHeight="1" spans="1:16355">
      <c r="A30" s="7">
        <v>45715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10">
        <f t="shared" si="0"/>
        <v>0</v>
      </c>
      <c r="Q30" s="13"/>
      <c r="R30" s="8">
        <f t="shared" si="1"/>
        <v>88810.74</v>
      </c>
      <c r="S30" s="13"/>
      <c r="XDR30" s="15"/>
      <c r="XDS30" s="15"/>
      <c r="XDT30" s="15"/>
      <c r="XDU30" s="15"/>
      <c r="XDV30" s="15"/>
      <c r="XDW30" s="15"/>
      <c r="XDX30" s="15"/>
      <c r="XDY30" s="15"/>
      <c r="XDZ30" s="15"/>
      <c r="XEA30" s="15"/>
    </row>
    <row r="31" s="3" customFormat="1" ht="27" customHeight="1" spans="1:16355">
      <c r="A31" s="7">
        <v>45716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10">
        <f t="shared" si="0"/>
        <v>0</v>
      </c>
      <c r="Q31" s="13"/>
      <c r="R31" s="8">
        <f t="shared" si="1"/>
        <v>88810.74</v>
      </c>
      <c r="S31" s="13"/>
      <c r="XDR31" s="15"/>
      <c r="XDS31" s="15"/>
      <c r="XDT31" s="15"/>
      <c r="XDU31" s="15"/>
      <c r="XDV31" s="15"/>
      <c r="XDW31" s="15"/>
      <c r="XDX31" s="15"/>
      <c r="XDY31" s="15"/>
      <c r="XDZ31" s="15"/>
      <c r="XEA31" s="15"/>
    </row>
    <row r="32" s="3" customFormat="1" ht="27" customHeight="1" spans="1:16355">
      <c r="A32" s="9" t="s">
        <v>25</v>
      </c>
      <c r="B32" s="9">
        <f t="shared" ref="B32:K32" si="2">SUM(B4:B31)</f>
        <v>1958.84</v>
      </c>
      <c r="C32" s="9">
        <f t="shared" si="2"/>
        <v>2386.82</v>
      </c>
      <c r="D32" s="9">
        <f t="shared" si="2"/>
        <v>0</v>
      </c>
      <c r="E32" s="9">
        <f t="shared" si="2"/>
        <v>544.9</v>
      </c>
      <c r="F32" s="9">
        <f t="shared" si="2"/>
        <v>1209.16</v>
      </c>
      <c r="G32" s="9">
        <f t="shared" si="2"/>
        <v>4962.66</v>
      </c>
      <c r="H32" s="9">
        <f t="shared" si="2"/>
        <v>14106.82</v>
      </c>
      <c r="I32" s="9">
        <f t="shared" si="2"/>
        <v>12431.74</v>
      </c>
      <c r="J32" s="9">
        <f t="shared" si="2"/>
        <v>12177.03</v>
      </c>
      <c r="K32" s="9">
        <f t="shared" si="2"/>
        <v>8916.94</v>
      </c>
      <c r="L32" s="9">
        <f>SUM(L4:L31)</f>
        <v>16587.9</v>
      </c>
      <c r="M32" s="9">
        <f>SUM(M4:M31)</f>
        <v>2359.1</v>
      </c>
      <c r="N32" s="9">
        <f>SUM(N4:N31)</f>
        <v>1625.94</v>
      </c>
      <c r="O32" s="9">
        <f>SUM(O4:O31)</f>
        <v>699.98</v>
      </c>
      <c r="P32" s="9">
        <f>SUM(P4:P31)</f>
        <v>79967.83</v>
      </c>
      <c r="Q32" s="9">
        <f>SUM(Q4:Q31)</f>
        <v>58872</v>
      </c>
      <c r="R32" s="9"/>
      <c r="S32" s="13"/>
      <c r="XDR32" s="15"/>
      <c r="XDS32" s="15"/>
      <c r="XDT32" s="15"/>
      <c r="XDU32" s="15"/>
      <c r="XDV32" s="15"/>
      <c r="XDW32" s="15"/>
      <c r="XDX32" s="15"/>
      <c r="XDY32" s="15"/>
      <c r="XDZ32" s="15"/>
      <c r="XEA32" s="15"/>
    </row>
    <row r="33" s="4" customFormat="1" spans="16373:16381">
      <c r="XES33"/>
      <c r="XET33"/>
      <c r="XEU33"/>
      <c r="XEV33"/>
      <c r="XEW33"/>
      <c r="XEX33"/>
      <c r="XEY33"/>
      <c r="XEZ33"/>
      <c r="XFA33"/>
    </row>
    <row r="34" s="4" customFormat="1" spans="16373:16381">
      <c r="XES34"/>
      <c r="XET34"/>
      <c r="XEU34"/>
      <c r="XEV34"/>
      <c r="XEW34"/>
      <c r="XEX34"/>
      <c r="XEY34"/>
      <c r="XEZ34"/>
      <c r="XFA34"/>
    </row>
    <row r="35" s="4" customFormat="1" spans="16373:16381">
      <c r="XES35"/>
      <c r="XET35"/>
      <c r="XEU35"/>
      <c r="XEV35"/>
      <c r="XEW35"/>
      <c r="XEX35"/>
      <c r="XEY35"/>
      <c r="XEZ35"/>
      <c r="XFA35"/>
    </row>
  </sheetData>
  <mergeCells count="8">
    <mergeCell ref="A1:S1"/>
    <mergeCell ref="B2:G2"/>
    <mergeCell ref="I2:K2"/>
    <mergeCell ref="L2:M2"/>
    <mergeCell ref="N2:O2"/>
    <mergeCell ref="A2:A3"/>
    <mergeCell ref="P2:P3"/>
    <mergeCell ref="Q2:Q3"/>
  </mergeCells>
  <printOptions horizontalCentered="1" verticalCentered="1"/>
  <pageMargins left="0.196527777777778" right="0.196527777777778" top="0.393055555555556" bottom="0.393055555555556" header="0.101388888888889" footer="0"/>
  <pageSetup paperSize="9" scale="60" orientation="landscape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2025.02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梁晶</dc:creator>
  <cp:lastModifiedBy>Lj</cp:lastModifiedBy>
  <dcterms:created xsi:type="dcterms:W3CDTF">2022-08-01T22:45:00Z</dcterms:created>
  <dcterms:modified xsi:type="dcterms:W3CDTF">2025-02-10T01:19:11Z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9E5780B153A055781F020D642C1D235A_33</vt:lpwstr>
  </property>
  <property fmtid="{D5CDD505-2E9C-101B-9397-08002B2CF9AE}" pid="3" name="KSOProductBuildVer">
    <vt:lpwstr>2052-12.1.0.19770</vt:lpwstr>
  </property>
  <property fmtid="{D5CDD505-2E9C-101B-9397-08002B2CF9AE}" pid="4" name="KSOReadingLayout">
    <vt:bool>true</vt:bool>
  </property>
</Properties>
</file>