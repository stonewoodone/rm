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555" tabRatio="672"/>
  </bookViews>
  <sheets>
    <sheet name="2025.0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<sst xmlns="http://schemas.openxmlformats.org/spreadsheetml/2006/main" count="37" uniqueCount="37">
  <si>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2025年2月侯马热电收耗存数据</t>
  </si>
  <si>
    <t>日期</t>
  </si>
  <si>
    <t>焦煤</t>
  </si>
  <si>
    <t>临汾</t>
  </si>
  <si>
    <t>太原煤气化</t>
  </si>
  <si>
    <t>煤业集团</t>
  </si>
  <si>
    <t>朔州煤电</t>
  </si>
  <si>
    <t>朔州公司</t>
  </si>
  <si>
    <t>晋城公司</t>
  </si>
  <si>
    <t>合计来煤
（吨）</t>
  </si>
  <si>
    <t>皮带秤消耗（吨）</t>
  </si>
  <si>
    <t>库存（吨）</t>
  </si>
  <si>
    <t>备注</t>
  </si>
  <si>
    <t>金辛达(G)
1-1</t>
  </si>
  <si>
    <t>金辛达(G)
2-1</t>
  </si>
  <si>
    <t>晋牛(G)
1-1</t>
  </si>
  <si>
    <t>晋牛(G)
2-1</t>
  </si>
  <si>
    <t>三交河(G)
2-1</t>
  </si>
  <si>
    <t>雪坪(G)
2-1</t>
  </si>
  <si>
    <t>山焦物流
2-1</t>
  </si>
  <si>
    <t>富康源(G)
1-1</t>
  </si>
  <si>
    <t>华泓（G）
2-1</t>
  </si>
  <si>
    <t>山凹（G）
2-1</t>
  </si>
  <si>
    <t>龙泉（T）
11-1</t>
  </si>
  <si>
    <t>龙泉（T）
12-1</t>
  </si>
  <si>
    <t>炉峪口（T）
11-1</t>
  </si>
  <si>
    <t>炉峪口（T）
12-1</t>
  </si>
  <si>
    <t>北辛窑（T）10-1</t>
  </si>
  <si>
    <t>北辛窑（T）11-1</t>
  </si>
  <si>
    <t>小峪（T）10-1</t>
  </si>
  <si>
    <t>小峪（T）11-1</t>
  </si>
  <si>
    <t>小峪（T）12-1</t>
  </si>
  <si>
    <t>莲盛（T）11-1</t>
  </si>
  <si>
    <t>莲盛（T）12-1</t>
  </si>
  <si>
    <t>四明山（G）
2-1</t>
  </si>
  <si>
    <t>野川（G）
2-1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</si>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</sst>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6"/>
      <name val="Microsoft YaHei"/>
      <charset val="134"/>
    </font>
    <font>
      <b/>
      <sz val="11"/>
      <name val="Microsoft YaHei"/>
      <charset val="134"/>
    </font>
    <font>
      <sz val="10"/>
      <color indexed="8"/>
      <name val="Microsoft YaHei"/>
      <charset val="134"/>
    </font>
    <font>
      <sz val="10"/>
      <name val="Microsoft YaHei"/>
      <charset val="134"/>
    </font>
    <font>
      <b/>
      <sz val="10"/>
      <name val="Microsoft YaHei"/>
      <charset val="134"/>
    </font>
    <font>
      <b/>
      <sz val="11"/>
      <color rgb="FF000000"/>
      <name val="Microsoft YaHei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6" applyNumberFormat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4" fillId="0" borderId="0" xfId="0" applyNumberFormat="1" applyFont="1" applyFill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6" fontId="9" fillId="0" borderId="2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35"/>
  <sheetViews>
    <sheetView tabSelected="1" zoomScale="80" zoomScaleNormal="80" topLeftCell="L1" workbookViewId="0">
      <pane ySplit="3" topLeftCell="A18" activePane="bottomLeft" state="frozen"/>
      <selection/>
      <selection pane="bottomLeft" activeCell="AE27" sqref="AE27"/>
    </sheetView>
  </sheetViews>
  <sheetFormatPr defaultColWidth="9.64166666666667" defaultRowHeight="13.5"/>
  <cols>
    <col min="1" max="1" width="12.8666666666667" style="4" customWidth="1"/>
    <col min="2" max="12" width="10.525" style="4" customWidth="1"/>
    <col min="13" max="15" width="12" style="4" customWidth="1"/>
    <col min="16" max="22" width="12.05" style="4" customWidth="1"/>
    <col min="23" max="24" width="12.3166666666667" style="4" customWidth="1"/>
    <col min="25" max="26" width="12.8666666666667" style="4" customWidth="1"/>
    <col min="27" max="27" width="14.8333333333333" style="4" customWidth="1"/>
    <col min="28" max="28" width="8.94166666666667" style="4" customWidth="1"/>
    <col min="29" max="16354" width="8.94166666666667" style="4"/>
    <col min="16355" max="16363" width="9.69166666666667" style="4"/>
    <col min="16364" max="16381" width="9.675" style="4"/>
  </cols>
  <sheetData>
    <row r="1" s="1" customFormat="1" ht="34" customHeight="1" spans="1:28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="2" customFormat="1" ht="30" customHeight="1" spans="1:16364">
      <c r="A2" s="6" t="s">
        <v>1</v>
      </c>
      <c r="B2" s="6" t="s">
        <v>2</v>
      </c>
      <c r="C2" s="6"/>
      <c r="D2" s="6"/>
      <c r="E2" s="6"/>
      <c r="F2" s="6"/>
      <c r="G2" s="6"/>
      <c r="H2" s="6"/>
      <c r="I2" s="6" t="s">
        <v>3</v>
      </c>
      <c r="J2" s="6" t="s">
        <v>4</v>
      </c>
      <c r="K2" s="6"/>
      <c r="L2" s="6"/>
      <c r="M2" s="6"/>
      <c r="N2" s="6"/>
      <c r="O2" s="6"/>
      <c r="P2" s="6" t="s">
        <v>5</v>
      </c>
      <c r="Q2" s="6"/>
      <c r="R2" s="6" t="s">
        <v>6</v>
      </c>
      <c r="S2" s="6"/>
      <c r="T2" s="6"/>
      <c r="U2" s="6" t="s">
        <v>7</v>
      </c>
      <c r="V2" s="6"/>
      <c r="W2" s="6" t="s">
        <v>8</v>
      </c>
      <c r="X2" s="6"/>
      <c r="Y2" s="6" t="s">
        <v>9</v>
      </c>
      <c r="Z2" s="6" t="s">
        <v>10</v>
      </c>
      <c r="AA2" s="10" t="s">
        <v>11</v>
      </c>
      <c r="AB2" s="10" t="s">
        <v>12</v>
      </c>
      <c r="XEA2" s="14"/>
      <c r="XEB2" s="14"/>
      <c r="XEC2" s="14"/>
      <c r="XED2" s="14"/>
      <c r="XEE2" s="14"/>
      <c r="XEF2" s="14"/>
      <c r="XEG2" s="14"/>
      <c r="XEH2" s="14"/>
      <c r="XEI2" s="14"/>
      <c r="XEJ2" s="14"/>
    </row>
    <row r="3" s="2" customFormat="1" ht="39" customHeight="1" spans="1:16364">
      <c r="A3" s="6"/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6" t="s">
        <v>22</v>
      </c>
      <c r="L3" s="6" t="s">
        <v>23</v>
      </c>
      <c r="M3" s="6" t="s">
        <v>24</v>
      </c>
      <c r="N3" s="6" t="s">
        <v>25</v>
      </c>
      <c r="O3" s="6" t="s">
        <v>26</v>
      </c>
      <c r="P3" s="6" t="s">
        <v>27</v>
      </c>
      <c r="Q3" s="6" t="s">
        <v>28</v>
      </c>
      <c r="R3" s="6" t="s">
        <v>29</v>
      </c>
      <c r="S3" s="6" t="s">
        <v>30</v>
      </c>
      <c r="T3" s="6" t="s">
        <v>31</v>
      </c>
      <c r="U3" s="6" t="s">
        <v>32</v>
      </c>
      <c r="V3" s="6" t="s">
        <v>33</v>
      </c>
      <c r="W3" s="6" t="s">
        <v>34</v>
      </c>
      <c r="X3" s="6" t="s">
        <v>35</v>
      </c>
      <c r="Y3" s="6"/>
      <c r="Z3" s="6"/>
      <c r="AA3" s="11">
        <v>67714.91</v>
      </c>
      <c r="AB3" s="10"/>
      <c r="XEA3" s="14"/>
      <c r="XEB3" s="14"/>
      <c r="XEC3" s="14"/>
      <c r="XED3" s="14"/>
      <c r="XEE3" s="14"/>
      <c r="XEF3" s="14"/>
      <c r="XEG3" s="14"/>
      <c r="XEH3" s="14"/>
      <c r="XEI3" s="14"/>
      <c r="XEJ3" s="14"/>
    </row>
    <row r="4" s="3" customFormat="1" ht="27" customHeight="1" spans="1:16364">
      <c r="A4" s="7">
        <v>45689</v>
      </c>
      <c r="B4" s="8"/>
      <c r="C4" s="8"/>
      <c r="D4" s="8"/>
      <c r="E4" s="8"/>
      <c r="F4" s="8"/>
      <c r="G4" s="8"/>
      <c r="H4" s="8"/>
      <c r="I4" s="8">
        <v>1104.14</v>
      </c>
      <c r="J4" s="8"/>
      <c r="K4" s="8"/>
      <c r="L4" s="8"/>
      <c r="M4" s="8">
        <v>1898.92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12">
        <f t="shared" ref="Y4:Y31" si="0">SUM(B4:X4)</f>
        <v>3003.06</v>
      </c>
      <c r="Z4" s="13">
        <v>6071</v>
      </c>
      <c r="AA4" s="8">
        <f t="shared" ref="AA4:AA31" si="1">AA3+Y4-Z4</f>
        <v>64646.97</v>
      </c>
      <c r="AB4" s="13"/>
      <c r="XEA4" s="15"/>
      <c r="XEB4" s="15"/>
      <c r="XEC4" s="15"/>
      <c r="XED4" s="15"/>
      <c r="XEE4" s="15"/>
      <c r="XEF4" s="15"/>
      <c r="XEG4" s="15"/>
      <c r="XEH4" s="15"/>
      <c r="XEI4" s="15"/>
      <c r="XEJ4" s="15"/>
    </row>
    <row r="5" s="3" customFormat="1" ht="27" customHeight="1" spans="1:16364">
      <c r="A5" s="7">
        <v>45690</v>
      </c>
      <c r="B5" s="8"/>
      <c r="C5" s="8"/>
      <c r="D5" s="8"/>
      <c r="E5" s="8"/>
      <c r="F5" s="8"/>
      <c r="G5" s="8"/>
      <c r="H5" s="8"/>
      <c r="I5" s="8">
        <v>1278.02</v>
      </c>
      <c r="J5" s="8"/>
      <c r="K5" s="8"/>
      <c r="L5" s="8"/>
      <c r="M5" s="8">
        <v>992.06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12">
        <f t="shared" si="0"/>
        <v>2270.08</v>
      </c>
      <c r="Z5" s="13">
        <v>6094</v>
      </c>
      <c r="AA5" s="8">
        <f t="shared" si="1"/>
        <v>60823.05</v>
      </c>
      <c r="AB5" s="13"/>
      <c r="XEA5" s="15"/>
      <c r="XEB5" s="15"/>
      <c r="XEC5" s="15"/>
      <c r="XED5" s="15"/>
      <c r="XEE5" s="15"/>
      <c r="XEF5" s="15"/>
      <c r="XEG5" s="15"/>
      <c r="XEH5" s="15"/>
      <c r="XEI5" s="15"/>
      <c r="XEJ5" s="15"/>
    </row>
    <row r="6" s="3" customFormat="1" ht="27" customHeight="1" spans="1:16364">
      <c r="A6" s="7">
        <v>45691</v>
      </c>
      <c r="B6" s="8"/>
      <c r="C6" s="8"/>
      <c r="D6" s="8">
        <v>352.16</v>
      </c>
      <c r="E6" s="8"/>
      <c r="F6" s="8"/>
      <c r="G6" s="8">
        <v>1662.88</v>
      </c>
      <c r="H6" s="8"/>
      <c r="I6" s="8">
        <v>1859.8</v>
      </c>
      <c r="J6" s="8">
        <v>1694.44</v>
      </c>
      <c r="K6" s="8"/>
      <c r="L6" s="8"/>
      <c r="M6" s="8">
        <v>2697.62</v>
      </c>
      <c r="N6" s="8"/>
      <c r="O6" s="8"/>
      <c r="P6" s="8"/>
      <c r="Q6" s="8"/>
      <c r="R6" s="8"/>
      <c r="S6" s="8"/>
      <c r="T6" s="8"/>
      <c r="U6" s="8"/>
      <c r="V6" s="8"/>
      <c r="W6" s="8">
        <v>147.48</v>
      </c>
      <c r="X6" s="8"/>
      <c r="Y6" s="12">
        <f t="shared" si="0"/>
        <v>8414.38</v>
      </c>
      <c r="Z6" s="13">
        <v>5977</v>
      </c>
      <c r="AA6" s="8">
        <f t="shared" si="1"/>
        <v>63260.43</v>
      </c>
      <c r="AB6" s="13"/>
      <c r="XEA6" s="15"/>
      <c r="XEB6" s="15"/>
      <c r="XEC6" s="15"/>
      <c r="XED6" s="15"/>
      <c r="XEE6" s="15"/>
      <c r="XEF6" s="15"/>
      <c r="XEG6" s="15"/>
      <c r="XEH6" s="15"/>
      <c r="XEI6" s="15"/>
      <c r="XEJ6" s="15"/>
    </row>
    <row r="7" s="3" customFormat="1" ht="27" customHeight="1" spans="1:16364">
      <c r="A7" s="7">
        <v>45692</v>
      </c>
      <c r="B7" s="8">
        <v>873.52</v>
      </c>
      <c r="C7" s="8"/>
      <c r="D7" s="8">
        <v>1219.36</v>
      </c>
      <c r="E7" s="8"/>
      <c r="F7" s="8"/>
      <c r="G7" s="8">
        <v>1431</v>
      </c>
      <c r="H7" s="8"/>
      <c r="I7" s="8">
        <v>2609.76</v>
      </c>
      <c r="J7" s="8">
        <v>963.32</v>
      </c>
      <c r="K7" s="8">
        <v>1951.66</v>
      </c>
      <c r="L7" s="8"/>
      <c r="M7" s="8"/>
      <c r="N7" s="8"/>
      <c r="O7" s="8"/>
      <c r="P7" s="8">
        <v>2899.96</v>
      </c>
      <c r="Q7" s="8"/>
      <c r="R7" s="8"/>
      <c r="S7" s="8"/>
      <c r="T7" s="8"/>
      <c r="U7" s="8"/>
      <c r="V7" s="8"/>
      <c r="W7" s="8">
        <v>117.82</v>
      </c>
      <c r="X7" s="8"/>
      <c r="Y7" s="12">
        <f t="shared" si="0"/>
        <v>12066.4</v>
      </c>
      <c r="Z7" s="13">
        <v>6260</v>
      </c>
      <c r="AA7" s="8">
        <f t="shared" si="1"/>
        <v>69066.83</v>
      </c>
      <c r="AB7" s="13"/>
      <c r="XEA7" s="15"/>
      <c r="XEB7" s="15"/>
      <c r="XEC7" s="15"/>
      <c r="XED7" s="15"/>
      <c r="XEE7" s="15"/>
      <c r="XEF7" s="15"/>
      <c r="XEG7" s="15"/>
      <c r="XEH7" s="15"/>
      <c r="XEI7" s="15"/>
      <c r="XEJ7" s="15"/>
    </row>
    <row r="8" s="3" customFormat="1" ht="27" customHeight="1" spans="1:16364">
      <c r="A8" s="7">
        <v>45693</v>
      </c>
      <c r="B8" s="8">
        <v>1085.32</v>
      </c>
      <c r="C8" s="8"/>
      <c r="D8" s="8">
        <v>815.3</v>
      </c>
      <c r="E8" s="8">
        <v>385.34</v>
      </c>
      <c r="F8" s="8"/>
      <c r="G8" s="8">
        <v>1291.82</v>
      </c>
      <c r="H8" s="8"/>
      <c r="I8" s="8"/>
      <c r="J8" s="8">
        <v>2639.54</v>
      </c>
      <c r="K8" s="8">
        <v>2951.29</v>
      </c>
      <c r="L8" s="8"/>
      <c r="M8" s="8"/>
      <c r="N8" s="8"/>
      <c r="O8" s="8"/>
      <c r="P8" s="8">
        <v>3275.5</v>
      </c>
      <c r="Q8" s="8"/>
      <c r="R8" s="8"/>
      <c r="S8" s="8"/>
      <c r="T8" s="8"/>
      <c r="U8" s="8"/>
      <c r="V8" s="8"/>
      <c r="W8" s="8">
        <v>415.1</v>
      </c>
      <c r="X8" s="8">
        <v>95.08</v>
      </c>
      <c r="Y8" s="12">
        <f t="shared" si="0"/>
        <v>12954.29</v>
      </c>
      <c r="Z8" s="13">
        <v>6329</v>
      </c>
      <c r="AA8" s="8">
        <f t="shared" si="1"/>
        <v>75692.12</v>
      </c>
      <c r="AB8" s="13"/>
      <c r="XEA8" s="15"/>
      <c r="XEB8" s="15"/>
      <c r="XEC8" s="15"/>
      <c r="XED8" s="15"/>
      <c r="XEE8" s="15"/>
      <c r="XEF8" s="15"/>
      <c r="XEG8" s="15"/>
      <c r="XEH8" s="15"/>
      <c r="XEI8" s="15"/>
      <c r="XEJ8" s="15"/>
    </row>
    <row r="9" s="3" customFormat="1" ht="27" customHeight="1" spans="1:16364">
      <c r="A9" s="7">
        <v>45694</v>
      </c>
      <c r="B9" s="8"/>
      <c r="C9" s="8"/>
      <c r="D9" s="8"/>
      <c r="E9" s="8">
        <v>159.56</v>
      </c>
      <c r="F9" s="8"/>
      <c r="G9" s="8">
        <v>576.96</v>
      </c>
      <c r="H9" s="8"/>
      <c r="I9" s="8">
        <v>1923.9</v>
      </c>
      <c r="J9" s="8">
        <v>2564.08</v>
      </c>
      <c r="K9" s="8">
        <v>2678.34</v>
      </c>
      <c r="L9" s="8"/>
      <c r="M9" s="8">
        <v>3328.34</v>
      </c>
      <c r="N9" s="8"/>
      <c r="O9" s="8"/>
      <c r="P9" s="8"/>
      <c r="Q9" s="8"/>
      <c r="R9" s="8"/>
      <c r="S9" s="8"/>
      <c r="T9" s="8"/>
      <c r="U9" s="8"/>
      <c r="V9" s="8"/>
      <c r="W9" s="8"/>
      <c r="X9" s="8">
        <v>221.46</v>
      </c>
      <c r="Y9" s="12">
        <f t="shared" si="0"/>
        <v>11452.64</v>
      </c>
      <c r="Z9" s="13">
        <v>7085</v>
      </c>
      <c r="AA9" s="8">
        <f t="shared" si="1"/>
        <v>80059.76</v>
      </c>
      <c r="AB9" s="13"/>
      <c r="XEA9" s="15"/>
      <c r="XEB9" s="15"/>
      <c r="XEC9" s="15"/>
      <c r="XED9" s="15"/>
      <c r="XEE9" s="15"/>
      <c r="XEF9" s="15"/>
      <c r="XEG9" s="15"/>
      <c r="XEH9" s="15"/>
      <c r="XEI9" s="15"/>
      <c r="XEJ9" s="15"/>
    </row>
    <row r="10" s="3" customFormat="1" ht="27" customHeight="1" spans="1:16364">
      <c r="A10" s="7">
        <v>45695</v>
      </c>
      <c r="B10" s="8"/>
      <c r="C10" s="8"/>
      <c r="D10" s="8"/>
      <c r="E10" s="8"/>
      <c r="F10" s="8"/>
      <c r="G10" s="8"/>
      <c r="H10" s="8"/>
      <c r="I10" s="8">
        <v>1719.68</v>
      </c>
      <c r="J10" s="8">
        <v>3487.84</v>
      </c>
      <c r="K10" s="8"/>
      <c r="L10" s="8"/>
      <c r="M10" s="8"/>
      <c r="N10" s="8"/>
      <c r="O10" s="8"/>
      <c r="P10" s="8">
        <v>3851.02</v>
      </c>
      <c r="Q10" s="8"/>
      <c r="R10" s="8"/>
      <c r="S10" s="8"/>
      <c r="T10" s="8"/>
      <c r="U10" s="8"/>
      <c r="V10" s="8"/>
      <c r="W10" s="8"/>
      <c r="X10" s="8">
        <v>191.16</v>
      </c>
      <c r="Y10" s="12">
        <f t="shared" si="0"/>
        <v>9249.7</v>
      </c>
      <c r="Z10" s="13">
        <v>7007</v>
      </c>
      <c r="AA10" s="8">
        <f t="shared" si="1"/>
        <v>82302.46</v>
      </c>
      <c r="AB10" s="13"/>
      <c r="XEA10" s="15"/>
      <c r="XEB10" s="15"/>
      <c r="XEC10" s="15"/>
      <c r="XED10" s="15"/>
      <c r="XEE10" s="15"/>
      <c r="XEF10" s="15"/>
      <c r="XEG10" s="15"/>
      <c r="XEH10" s="15"/>
      <c r="XEI10" s="15"/>
      <c r="XEJ10" s="15"/>
    </row>
    <row r="11" s="3" customFormat="1" ht="27" customHeight="1" spans="1:16364">
      <c r="A11" s="7">
        <v>45696</v>
      </c>
      <c r="B11" s="8"/>
      <c r="C11" s="8"/>
      <c r="D11" s="8"/>
      <c r="E11" s="8"/>
      <c r="F11" s="8"/>
      <c r="G11" s="8"/>
      <c r="H11" s="8"/>
      <c r="I11" s="8">
        <v>2210.44</v>
      </c>
      <c r="J11" s="8">
        <v>1082.52</v>
      </c>
      <c r="K11" s="8"/>
      <c r="L11" s="8"/>
      <c r="M11" s="8"/>
      <c r="N11" s="8"/>
      <c r="O11" s="8"/>
      <c r="P11" s="8"/>
      <c r="Q11" s="8">
        <v>4527.86</v>
      </c>
      <c r="R11" s="8"/>
      <c r="S11" s="8"/>
      <c r="T11" s="8"/>
      <c r="U11" s="8"/>
      <c r="V11" s="8"/>
      <c r="W11" s="8"/>
      <c r="X11" s="8">
        <v>192.28</v>
      </c>
      <c r="Y11" s="12">
        <f t="shared" si="0"/>
        <v>8013.1</v>
      </c>
      <c r="Z11" s="13">
        <v>7206</v>
      </c>
      <c r="AA11" s="8">
        <f t="shared" si="1"/>
        <v>83109.56</v>
      </c>
      <c r="AB11" s="13"/>
      <c r="XEA11" s="15"/>
      <c r="XEB11" s="15"/>
      <c r="XEC11" s="15"/>
      <c r="XED11" s="15"/>
      <c r="XEE11" s="15"/>
      <c r="XEF11" s="15"/>
      <c r="XEG11" s="15"/>
      <c r="XEH11" s="15"/>
      <c r="XEI11" s="15"/>
      <c r="XEJ11" s="15"/>
    </row>
    <row r="12" s="3" customFormat="1" ht="27" customHeight="1" spans="1:16364">
      <c r="A12" s="7">
        <v>45697</v>
      </c>
      <c r="B12" s="8"/>
      <c r="C12" s="8"/>
      <c r="D12" s="8"/>
      <c r="E12" s="8"/>
      <c r="F12" s="8">
        <v>1209.16</v>
      </c>
      <c r="G12" s="8"/>
      <c r="H12" s="8"/>
      <c r="I12" s="8">
        <v>1401.08</v>
      </c>
      <c r="J12" s="8"/>
      <c r="K12" s="8">
        <v>4595.74</v>
      </c>
      <c r="L12" s="8"/>
      <c r="M12" s="8"/>
      <c r="N12" s="8"/>
      <c r="O12" s="8"/>
      <c r="P12" s="8">
        <v>2033.56</v>
      </c>
      <c r="Q12" s="8">
        <v>2359.1</v>
      </c>
      <c r="R12" s="8"/>
      <c r="S12" s="8"/>
      <c r="T12" s="8"/>
      <c r="U12" s="8"/>
      <c r="V12" s="8"/>
      <c r="W12" s="8">
        <v>945.54</v>
      </c>
      <c r="X12" s="8"/>
      <c r="Y12" s="12">
        <f t="shared" si="0"/>
        <v>12544.18</v>
      </c>
      <c r="Z12" s="13">
        <v>6843</v>
      </c>
      <c r="AA12" s="8">
        <f t="shared" si="1"/>
        <v>88810.74</v>
      </c>
      <c r="AB12" s="13"/>
      <c r="XEA12" s="15"/>
      <c r="XEB12" s="15"/>
      <c r="XEC12" s="15"/>
      <c r="XED12" s="15"/>
      <c r="XEE12" s="15"/>
      <c r="XEF12" s="15"/>
      <c r="XEG12" s="15"/>
      <c r="XEH12" s="15"/>
      <c r="XEI12" s="15"/>
      <c r="XEJ12" s="15"/>
    </row>
    <row r="13" s="3" customFormat="1" ht="27" customHeight="1" spans="1:16364">
      <c r="A13" s="7">
        <v>45698</v>
      </c>
      <c r="B13" s="8"/>
      <c r="C13" s="8"/>
      <c r="D13" s="8"/>
      <c r="E13" s="8"/>
      <c r="F13" s="8">
        <v>1271.06</v>
      </c>
      <c r="G13" s="8"/>
      <c r="H13" s="8"/>
      <c r="I13" s="8">
        <v>2350.26</v>
      </c>
      <c r="J13" s="8"/>
      <c r="K13" s="8">
        <v>225.8</v>
      </c>
      <c r="L13" s="8"/>
      <c r="M13" s="8">
        <v>5856.74</v>
      </c>
      <c r="N13" s="8"/>
      <c r="O13" s="8"/>
      <c r="P13" s="8"/>
      <c r="Q13" s="8"/>
      <c r="R13" s="8"/>
      <c r="S13" s="8"/>
      <c r="T13" s="8"/>
      <c r="U13" s="8"/>
      <c r="V13" s="8"/>
      <c r="W13" s="8">
        <v>341.82</v>
      </c>
      <c r="X13" s="8"/>
      <c r="Y13" s="12">
        <f t="shared" si="0"/>
        <v>10045.68</v>
      </c>
      <c r="Z13" s="13">
        <v>7896</v>
      </c>
      <c r="AA13" s="8">
        <f t="shared" si="1"/>
        <v>90960.42</v>
      </c>
      <c r="AB13" s="13"/>
      <c r="XEA13" s="15"/>
      <c r="XEB13" s="15"/>
      <c r="XEC13" s="15"/>
      <c r="XED13" s="15"/>
      <c r="XEE13" s="15"/>
      <c r="XEF13" s="15"/>
      <c r="XEG13" s="15"/>
      <c r="XEH13" s="15"/>
      <c r="XEI13" s="15"/>
      <c r="XEJ13" s="15"/>
    </row>
    <row r="14" s="3" customFormat="1" ht="27" customHeight="1" spans="1:16364">
      <c r="A14" s="7">
        <v>45699</v>
      </c>
      <c r="B14" s="8"/>
      <c r="C14" s="8"/>
      <c r="D14" s="8"/>
      <c r="E14" s="8"/>
      <c r="F14" s="8"/>
      <c r="G14" s="8"/>
      <c r="H14" s="8"/>
      <c r="I14" s="8">
        <v>260.34</v>
      </c>
      <c r="J14" s="8"/>
      <c r="K14" s="8"/>
      <c r="L14" s="8"/>
      <c r="M14" s="8"/>
      <c r="N14" s="8"/>
      <c r="O14" s="8"/>
      <c r="P14" s="8"/>
      <c r="Q14" s="8">
        <v>2916.22</v>
      </c>
      <c r="R14" s="8"/>
      <c r="S14" s="8"/>
      <c r="T14" s="8"/>
      <c r="U14" s="8"/>
      <c r="V14" s="8">
        <v>3809.76</v>
      </c>
      <c r="W14" s="8"/>
      <c r="X14" s="8"/>
      <c r="Y14" s="12">
        <f t="shared" si="0"/>
        <v>6986.32</v>
      </c>
      <c r="Z14" s="13">
        <v>7979</v>
      </c>
      <c r="AA14" s="8">
        <f t="shared" si="1"/>
        <v>89967.74</v>
      </c>
      <c r="AB14" s="13"/>
      <c r="XEA14" s="15"/>
      <c r="XEB14" s="15"/>
      <c r="XEC14" s="15"/>
      <c r="XED14" s="15"/>
      <c r="XEE14" s="15"/>
      <c r="XEF14" s="15"/>
      <c r="XEG14" s="15"/>
      <c r="XEH14" s="15"/>
      <c r="XEI14" s="15"/>
      <c r="XEJ14" s="15"/>
    </row>
    <row r="15" s="3" customFormat="1" ht="27" customHeight="1" spans="1:16364">
      <c r="A15" s="7">
        <v>45700</v>
      </c>
      <c r="B15" s="8"/>
      <c r="C15" s="8"/>
      <c r="D15" s="8"/>
      <c r="E15" s="8"/>
      <c r="F15" s="8"/>
      <c r="G15" s="8"/>
      <c r="H15" s="8"/>
      <c r="I15" s="8">
        <v>1815.6</v>
      </c>
      <c r="J15" s="8"/>
      <c r="K15" s="8"/>
      <c r="L15" s="8"/>
      <c r="M15" s="8"/>
      <c r="N15" s="8"/>
      <c r="O15" s="8"/>
      <c r="P15" s="8"/>
      <c r="Q15" s="8">
        <v>3703.4</v>
      </c>
      <c r="R15" s="8"/>
      <c r="S15" s="8"/>
      <c r="T15" s="8"/>
      <c r="U15" s="8">
        <v>2181.68</v>
      </c>
      <c r="V15" s="8"/>
      <c r="W15" s="8"/>
      <c r="X15" s="8">
        <v>31.94</v>
      </c>
      <c r="Y15" s="12">
        <f t="shared" si="0"/>
        <v>7732.62</v>
      </c>
      <c r="Z15" s="13">
        <v>7675</v>
      </c>
      <c r="AA15" s="8">
        <f t="shared" si="1"/>
        <v>90025.36</v>
      </c>
      <c r="AB15" s="13"/>
      <c r="XEA15" s="15"/>
      <c r="XEB15" s="15"/>
      <c r="XEC15" s="15"/>
      <c r="XED15" s="15"/>
      <c r="XEE15" s="15"/>
      <c r="XEF15" s="15"/>
      <c r="XEG15" s="15"/>
      <c r="XEH15" s="15"/>
      <c r="XEI15" s="15"/>
      <c r="XEJ15" s="15"/>
    </row>
    <row r="16" s="3" customFormat="1" ht="27" customHeight="1" spans="1:16364">
      <c r="A16" s="7">
        <v>45701</v>
      </c>
      <c r="B16" s="8"/>
      <c r="C16" s="8"/>
      <c r="D16" s="8"/>
      <c r="E16" s="8"/>
      <c r="F16" s="8"/>
      <c r="G16" s="8"/>
      <c r="H16" s="8"/>
      <c r="I16" s="8"/>
      <c r="J16" s="8">
        <v>3769.88</v>
      </c>
      <c r="K16" s="8">
        <v>3693.98</v>
      </c>
      <c r="L16" s="8"/>
      <c r="M16" s="8"/>
      <c r="N16" s="8">
        <v>2600.14</v>
      </c>
      <c r="O16" s="8"/>
      <c r="P16" s="8"/>
      <c r="Q16" s="8"/>
      <c r="R16" s="8"/>
      <c r="S16" s="8">
        <v>1500.5</v>
      </c>
      <c r="T16" s="8"/>
      <c r="U16" s="8"/>
      <c r="V16" s="8"/>
      <c r="W16" s="8"/>
      <c r="X16" s="8">
        <v>126.34</v>
      </c>
      <c r="Y16" s="12">
        <f t="shared" si="0"/>
        <v>11690.84</v>
      </c>
      <c r="Z16" s="13">
        <v>7634</v>
      </c>
      <c r="AA16" s="8">
        <f t="shared" si="1"/>
        <v>94082.2</v>
      </c>
      <c r="AB16" s="13"/>
      <c r="XEA16" s="15"/>
      <c r="XEB16" s="15"/>
      <c r="XEC16" s="15"/>
      <c r="XED16" s="15"/>
      <c r="XEE16" s="15"/>
      <c r="XEF16" s="15"/>
      <c r="XEG16" s="15"/>
      <c r="XEH16" s="15"/>
      <c r="XEI16" s="15"/>
      <c r="XEJ16" s="15"/>
    </row>
    <row r="17" s="3" customFormat="1" ht="27" customHeight="1" spans="1:16364">
      <c r="A17" s="7">
        <v>45702</v>
      </c>
      <c r="B17" s="8"/>
      <c r="C17" s="8"/>
      <c r="D17" s="8"/>
      <c r="E17" s="8"/>
      <c r="F17" s="8"/>
      <c r="G17" s="8"/>
      <c r="H17" s="8"/>
      <c r="I17" s="8"/>
      <c r="J17" s="8">
        <v>1019.56</v>
      </c>
      <c r="K17" s="8">
        <v>4446.04</v>
      </c>
      <c r="L17" s="8"/>
      <c r="M17" s="8"/>
      <c r="N17" s="8">
        <v>4750.34</v>
      </c>
      <c r="O17" s="8"/>
      <c r="P17" s="8"/>
      <c r="Q17" s="8"/>
      <c r="R17" s="8"/>
      <c r="S17" s="8"/>
      <c r="T17" s="8"/>
      <c r="U17" s="8"/>
      <c r="V17" s="8"/>
      <c r="W17" s="8"/>
      <c r="X17" s="8">
        <v>30.46</v>
      </c>
      <c r="Y17" s="12">
        <f t="shared" si="0"/>
        <v>10246.4</v>
      </c>
      <c r="Z17" s="13">
        <v>7858</v>
      </c>
      <c r="AA17" s="8">
        <f t="shared" si="1"/>
        <v>96470.6</v>
      </c>
      <c r="AB17" s="13"/>
      <c r="XEA17" s="15"/>
      <c r="XEB17" s="15"/>
      <c r="XEC17" s="15"/>
      <c r="XED17" s="15"/>
      <c r="XEE17" s="15"/>
      <c r="XEF17" s="15"/>
      <c r="XEG17" s="15"/>
      <c r="XEH17" s="15"/>
      <c r="XEI17" s="15"/>
      <c r="XEJ17" s="15"/>
    </row>
    <row r="18" s="3" customFormat="1" ht="27" customHeight="1" spans="1:16364">
      <c r="A18" s="7">
        <v>45703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>
        <v>6858.68</v>
      </c>
      <c r="R18" s="8"/>
      <c r="S18" s="8"/>
      <c r="T18" s="8"/>
      <c r="U18" s="8"/>
      <c r="V18" s="8"/>
      <c r="W18" s="8"/>
      <c r="X18" s="8"/>
      <c r="Y18" s="12">
        <f t="shared" si="0"/>
        <v>6858.68</v>
      </c>
      <c r="Z18" s="13">
        <v>6628</v>
      </c>
      <c r="AA18" s="8">
        <f t="shared" si="1"/>
        <v>96701.28</v>
      </c>
      <c r="AB18" s="13"/>
      <c r="XEA18" s="15"/>
      <c r="XEB18" s="15"/>
      <c r="XEC18" s="15"/>
      <c r="XED18" s="15"/>
      <c r="XEE18" s="15"/>
      <c r="XEF18" s="15"/>
      <c r="XEG18" s="15"/>
      <c r="XEH18" s="15"/>
      <c r="XEI18" s="15"/>
      <c r="XEJ18" s="15"/>
    </row>
    <row r="19" s="3" customFormat="1" ht="27" customHeight="1" spans="1:16364">
      <c r="A19" s="7">
        <v>45704</v>
      </c>
      <c r="B19" s="8"/>
      <c r="C19" s="8"/>
      <c r="D19" s="8"/>
      <c r="E19" s="8"/>
      <c r="F19" s="8"/>
      <c r="G19" s="8"/>
      <c r="H19" s="8"/>
      <c r="I19" s="8"/>
      <c r="J19" s="8"/>
      <c r="K19" s="8">
        <v>1754.4</v>
      </c>
      <c r="L19" s="8"/>
      <c r="M19" s="8"/>
      <c r="N19" s="8"/>
      <c r="O19" s="8"/>
      <c r="P19" s="8"/>
      <c r="Q19" s="8">
        <v>5729.34</v>
      </c>
      <c r="R19" s="8"/>
      <c r="S19" s="8"/>
      <c r="T19" s="8"/>
      <c r="U19" s="8"/>
      <c r="V19" s="8"/>
      <c r="W19" s="8"/>
      <c r="X19" s="8"/>
      <c r="Y19" s="12">
        <f t="shared" si="0"/>
        <v>7483.74</v>
      </c>
      <c r="Z19" s="13">
        <v>7372</v>
      </c>
      <c r="AA19" s="8">
        <f t="shared" si="1"/>
        <v>96813.02</v>
      </c>
      <c r="AB19" s="13"/>
      <c r="XEA19" s="15"/>
      <c r="XEB19" s="15"/>
      <c r="XEC19" s="15"/>
      <c r="XED19" s="15"/>
      <c r="XEE19" s="15"/>
      <c r="XEF19" s="15"/>
      <c r="XEG19" s="15"/>
      <c r="XEH19" s="15"/>
      <c r="XEI19" s="15"/>
      <c r="XEJ19" s="15"/>
    </row>
    <row r="20" s="3" customFormat="1" ht="27" customHeight="1" spans="1:16364">
      <c r="A20" s="7">
        <v>45705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>
        <v>2762.02</v>
      </c>
      <c r="R20" s="8"/>
      <c r="S20" s="8"/>
      <c r="T20" s="8">
        <v>2602.72</v>
      </c>
      <c r="U20" s="8"/>
      <c r="V20" s="8"/>
      <c r="W20" s="8"/>
      <c r="X20" s="8"/>
      <c r="Y20" s="12">
        <f t="shared" si="0"/>
        <v>5364.74</v>
      </c>
      <c r="Z20" s="13">
        <v>6757</v>
      </c>
      <c r="AA20" s="8">
        <f t="shared" si="1"/>
        <v>95420.76</v>
      </c>
      <c r="AB20" s="13"/>
      <c r="XEA20" s="15"/>
      <c r="XEB20" s="15"/>
      <c r="XEC20" s="15"/>
      <c r="XED20" s="15"/>
      <c r="XEE20" s="15"/>
      <c r="XEF20" s="15"/>
      <c r="XEG20" s="15"/>
      <c r="XEH20" s="15"/>
      <c r="XEI20" s="15"/>
      <c r="XEJ20" s="15"/>
    </row>
    <row r="21" s="3" customFormat="1" ht="27" customHeight="1" spans="1:16364">
      <c r="A21" s="7">
        <v>45706</v>
      </c>
      <c r="B21" s="8"/>
      <c r="C21" s="8"/>
      <c r="D21" s="8"/>
      <c r="E21" s="8"/>
      <c r="F21" s="8"/>
      <c r="G21" s="8"/>
      <c r="H21" s="8"/>
      <c r="I21" s="8"/>
      <c r="J21" s="8">
        <v>1184.78</v>
      </c>
      <c r="K21" s="8"/>
      <c r="L21" s="8"/>
      <c r="M21" s="8"/>
      <c r="N21" s="8"/>
      <c r="O21" s="8"/>
      <c r="P21" s="8"/>
      <c r="Q21" s="8"/>
      <c r="R21" s="8">
        <v>425.04</v>
      </c>
      <c r="S21" s="8"/>
      <c r="T21" s="8">
        <v>4061.96</v>
      </c>
      <c r="U21" s="8"/>
      <c r="V21" s="8"/>
      <c r="W21" s="8"/>
      <c r="X21" s="8"/>
      <c r="Y21" s="12">
        <f t="shared" si="0"/>
        <v>5671.78</v>
      </c>
      <c r="Z21" s="13">
        <v>6883</v>
      </c>
      <c r="AA21" s="8">
        <f t="shared" si="1"/>
        <v>94209.54</v>
      </c>
      <c r="AB21" s="13"/>
      <c r="XEA21" s="15"/>
      <c r="XEB21" s="15"/>
      <c r="XEC21" s="15"/>
      <c r="XED21" s="15"/>
      <c r="XEE21" s="15"/>
      <c r="XEF21" s="15"/>
      <c r="XEG21" s="15"/>
      <c r="XEH21" s="15"/>
      <c r="XEI21" s="15"/>
      <c r="XEJ21" s="15"/>
    </row>
    <row r="22" s="3" customFormat="1" ht="27" customHeight="1" spans="1:16364">
      <c r="A22" s="7">
        <v>45707</v>
      </c>
      <c r="B22" s="8"/>
      <c r="C22" s="8"/>
      <c r="D22" s="8"/>
      <c r="E22" s="8"/>
      <c r="F22" s="8"/>
      <c r="G22" s="8"/>
      <c r="H22" s="8"/>
      <c r="I22" s="8"/>
      <c r="J22" s="8">
        <v>1402.83</v>
      </c>
      <c r="K22" s="8"/>
      <c r="L22" s="8"/>
      <c r="M22" s="8"/>
      <c r="N22" s="8">
        <v>1928.96</v>
      </c>
      <c r="O22" s="8">
        <v>1729.62</v>
      </c>
      <c r="P22" s="8"/>
      <c r="Q22" s="8"/>
      <c r="R22" s="8"/>
      <c r="S22" s="8"/>
      <c r="T22" s="8"/>
      <c r="U22" s="8"/>
      <c r="V22" s="8"/>
      <c r="W22" s="8"/>
      <c r="X22" s="8"/>
      <c r="Y22" s="12">
        <f t="shared" si="0"/>
        <v>5061.41</v>
      </c>
      <c r="Z22" s="13">
        <v>7719</v>
      </c>
      <c r="AA22" s="8">
        <f t="shared" si="1"/>
        <v>91551.95</v>
      </c>
      <c r="AB22" s="13"/>
      <c r="XEA22" s="15"/>
      <c r="XEB22" s="15"/>
      <c r="XEC22" s="15"/>
      <c r="XED22" s="15"/>
      <c r="XEE22" s="15"/>
      <c r="XEF22" s="15"/>
      <c r="XEG22" s="15"/>
      <c r="XEH22" s="15"/>
      <c r="XEI22" s="15"/>
      <c r="XEJ22" s="15"/>
    </row>
    <row r="23" s="3" customFormat="1" ht="27" customHeight="1" spans="1:16364">
      <c r="A23" s="7">
        <v>45708</v>
      </c>
      <c r="B23" s="8"/>
      <c r="C23" s="8">
        <v>1380.02</v>
      </c>
      <c r="D23" s="8"/>
      <c r="E23" s="8"/>
      <c r="F23" s="8"/>
      <c r="G23" s="8"/>
      <c r="H23" s="8"/>
      <c r="I23" s="8"/>
      <c r="J23" s="8">
        <v>1219.88</v>
      </c>
      <c r="K23" s="8"/>
      <c r="L23" s="8"/>
      <c r="M23" s="8"/>
      <c r="N23" s="8"/>
      <c r="O23" s="8">
        <v>6807.79</v>
      </c>
      <c r="P23" s="8"/>
      <c r="Q23" s="8"/>
      <c r="R23" s="8"/>
      <c r="S23" s="8"/>
      <c r="T23" s="8"/>
      <c r="U23" s="8"/>
      <c r="V23" s="8"/>
      <c r="W23" s="8"/>
      <c r="X23" s="8"/>
      <c r="Y23" s="12">
        <f t="shared" si="0"/>
        <v>9407.69</v>
      </c>
      <c r="Z23" s="13">
        <v>8590</v>
      </c>
      <c r="AA23" s="8">
        <f t="shared" si="1"/>
        <v>92369.64</v>
      </c>
      <c r="AB23" s="13"/>
      <c r="XEA23" s="15"/>
      <c r="XEB23" s="15"/>
      <c r="XEC23" s="15"/>
      <c r="XED23" s="15"/>
      <c r="XEE23" s="15"/>
      <c r="XEF23" s="15"/>
      <c r="XEG23" s="15"/>
      <c r="XEH23" s="15"/>
      <c r="XEI23" s="15"/>
      <c r="XEJ23" s="15"/>
    </row>
    <row r="24" s="3" customFormat="1" ht="27" customHeight="1" spans="1:16364">
      <c r="A24" s="7">
        <v>45709</v>
      </c>
      <c r="B24" s="8"/>
      <c r="C24" s="8">
        <v>702.8</v>
      </c>
      <c r="D24" s="8"/>
      <c r="E24" s="8"/>
      <c r="F24" s="8"/>
      <c r="G24" s="8"/>
      <c r="H24" s="8"/>
      <c r="I24" s="8"/>
      <c r="J24" s="8">
        <v>4366.6</v>
      </c>
      <c r="K24" s="8"/>
      <c r="L24" s="8">
        <v>492.9</v>
      </c>
      <c r="M24" s="8"/>
      <c r="N24" s="8"/>
      <c r="O24" s="8">
        <v>2195.22</v>
      </c>
      <c r="P24" s="8"/>
      <c r="Q24" s="8"/>
      <c r="R24" s="8"/>
      <c r="S24" s="8"/>
      <c r="T24" s="8"/>
      <c r="U24" s="8"/>
      <c r="V24" s="8"/>
      <c r="W24" s="8"/>
      <c r="X24" s="8"/>
      <c r="Y24" s="12">
        <f t="shared" si="0"/>
        <v>7757.52</v>
      </c>
      <c r="Z24" s="13">
        <v>7848</v>
      </c>
      <c r="AA24" s="8">
        <f t="shared" si="1"/>
        <v>92279.16</v>
      </c>
      <c r="AB24" s="13"/>
      <c r="XEA24" s="15"/>
      <c r="XEB24" s="15"/>
      <c r="XEC24" s="15"/>
      <c r="XED24" s="15"/>
      <c r="XEE24" s="15"/>
      <c r="XEF24" s="15"/>
      <c r="XEG24" s="15"/>
      <c r="XEH24" s="15"/>
      <c r="XEI24" s="15"/>
      <c r="XEJ24" s="15"/>
    </row>
    <row r="25" s="3" customFormat="1" ht="27" customHeight="1" spans="1:16364">
      <c r="A25" s="7">
        <v>45710</v>
      </c>
      <c r="B25" s="8"/>
      <c r="C25" s="8">
        <v>402.92</v>
      </c>
      <c r="D25" s="8"/>
      <c r="E25" s="8"/>
      <c r="F25" s="8"/>
      <c r="G25" s="8"/>
      <c r="H25" s="8">
        <v>1726.04</v>
      </c>
      <c r="I25" s="8"/>
      <c r="J25" s="8">
        <v>3151.34</v>
      </c>
      <c r="K25" s="8">
        <v>4774.94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12">
        <f t="shared" si="0"/>
        <v>10055.24</v>
      </c>
      <c r="Z25" s="13">
        <v>7089</v>
      </c>
      <c r="AA25" s="8">
        <f t="shared" si="1"/>
        <v>95245.4</v>
      </c>
      <c r="AB25" s="13"/>
      <c r="XEA25" s="15"/>
      <c r="XEB25" s="15"/>
      <c r="XEC25" s="15"/>
      <c r="XED25" s="15"/>
      <c r="XEE25" s="15"/>
      <c r="XEF25" s="15"/>
      <c r="XEG25" s="15"/>
      <c r="XEH25" s="15"/>
      <c r="XEI25" s="15"/>
      <c r="XEJ25" s="15"/>
    </row>
    <row r="26" s="3" customFormat="1" ht="27" customHeight="1" spans="1:16364">
      <c r="A26" s="7">
        <v>45711</v>
      </c>
      <c r="B26" s="8"/>
      <c r="C26" s="8"/>
      <c r="D26" s="8"/>
      <c r="E26" s="8">
        <v>989.52</v>
      </c>
      <c r="F26" s="8"/>
      <c r="G26" s="8"/>
      <c r="H26" s="8">
        <v>1936.72</v>
      </c>
      <c r="I26" s="8"/>
      <c r="J26" s="8">
        <v>3539.22</v>
      </c>
      <c r="K26" s="8">
        <v>176.5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12">
        <f t="shared" si="0"/>
        <v>6641.96</v>
      </c>
      <c r="Z26" s="13">
        <v>7105</v>
      </c>
      <c r="AA26" s="8">
        <f t="shared" si="1"/>
        <v>94782.36</v>
      </c>
      <c r="AB26" s="13"/>
      <c r="XEA26" s="15"/>
      <c r="XEB26" s="15"/>
      <c r="XEC26" s="15"/>
      <c r="XED26" s="15"/>
      <c r="XEE26" s="15"/>
      <c r="XEF26" s="15"/>
      <c r="XEG26" s="15"/>
      <c r="XEH26" s="15"/>
      <c r="XEI26" s="15"/>
      <c r="XEJ26" s="15"/>
    </row>
    <row r="27" s="3" customFormat="1" ht="27" customHeight="1" spans="1:16364">
      <c r="A27" s="7">
        <v>45712</v>
      </c>
      <c r="B27" s="8"/>
      <c r="C27" s="8"/>
      <c r="D27" s="8"/>
      <c r="E27" s="8">
        <v>769.16</v>
      </c>
      <c r="F27" s="8"/>
      <c r="G27" s="8"/>
      <c r="H27" s="8">
        <v>1586.96</v>
      </c>
      <c r="I27" s="8"/>
      <c r="J27" s="8">
        <v>209.66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12">
        <f t="shared" si="0"/>
        <v>2565.78</v>
      </c>
      <c r="Z27" s="13">
        <v>6845</v>
      </c>
      <c r="AA27" s="8">
        <f t="shared" si="1"/>
        <v>90503.14</v>
      </c>
      <c r="AB27" s="13"/>
      <c r="XEA27" s="15"/>
      <c r="XEB27" s="15"/>
      <c r="XEC27" s="15"/>
      <c r="XED27" s="15"/>
      <c r="XEE27" s="15"/>
      <c r="XEF27" s="15"/>
      <c r="XEG27" s="15"/>
      <c r="XEH27" s="15"/>
      <c r="XEI27" s="15"/>
      <c r="XEJ27" s="15"/>
    </row>
    <row r="28" s="3" customFormat="1" ht="27" customHeight="1" spans="1:16364">
      <c r="A28" s="7">
        <v>45713</v>
      </c>
      <c r="B28" s="8"/>
      <c r="C28" s="8"/>
      <c r="D28" s="8"/>
      <c r="E28" s="8">
        <v>31.54</v>
      </c>
      <c r="F28" s="8"/>
      <c r="G28" s="8"/>
      <c r="H28" s="8">
        <v>2325.44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12">
        <f t="shared" si="0"/>
        <v>2356.98</v>
      </c>
      <c r="Z28" s="13">
        <v>6648</v>
      </c>
      <c r="AA28" s="8">
        <f t="shared" si="1"/>
        <v>86212.12</v>
      </c>
      <c r="AB28" s="13"/>
      <c r="XEA28" s="15"/>
      <c r="XEB28" s="15"/>
      <c r="XEC28" s="15"/>
      <c r="XED28" s="15"/>
      <c r="XEE28" s="15"/>
      <c r="XEF28" s="15"/>
      <c r="XEG28" s="15"/>
      <c r="XEH28" s="15"/>
      <c r="XEI28" s="15"/>
      <c r="XEJ28" s="15"/>
    </row>
    <row r="29" s="3" customFormat="1" ht="27" customHeight="1" spans="1:16364">
      <c r="A29" s="7">
        <v>45714</v>
      </c>
      <c r="B29" s="8"/>
      <c r="C29" s="8"/>
      <c r="D29" s="8"/>
      <c r="E29" s="8"/>
      <c r="F29" s="8"/>
      <c r="G29" s="8"/>
      <c r="H29" s="8">
        <v>1905.22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12">
        <f t="shared" si="0"/>
        <v>1905.22</v>
      </c>
      <c r="Z29" s="13">
        <v>6580</v>
      </c>
      <c r="AA29" s="8">
        <f t="shared" si="1"/>
        <v>81537.34</v>
      </c>
      <c r="AB29" s="13"/>
      <c r="XEA29" s="15"/>
      <c r="XEB29" s="15"/>
      <c r="XEC29" s="15"/>
      <c r="XED29" s="15"/>
      <c r="XEE29" s="15"/>
      <c r="XEF29" s="15"/>
      <c r="XEG29" s="15"/>
      <c r="XEH29" s="15"/>
      <c r="XEI29" s="15"/>
      <c r="XEJ29" s="15"/>
    </row>
    <row r="30" s="3" customFormat="1" ht="27" customHeight="1" spans="1:16364">
      <c r="A30" s="7">
        <v>45715</v>
      </c>
      <c r="B30" s="8"/>
      <c r="C30" s="8"/>
      <c r="D30" s="8"/>
      <c r="E30" s="8">
        <v>109.12</v>
      </c>
      <c r="F30" s="8">
        <v>1297.92</v>
      </c>
      <c r="G30" s="8"/>
      <c r="H30" s="8">
        <v>948.58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12">
        <f t="shared" si="0"/>
        <v>2355.62</v>
      </c>
      <c r="Z30" s="13">
        <v>6310</v>
      </c>
      <c r="AA30" s="8">
        <f t="shared" si="1"/>
        <v>77582.96</v>
      </c>
      <c r="AB30" s="13"/>
      <c r="XEA30" s="15"/>
      <c r="XEB30" s="15"/>
      <c r="XEC30" s="15"/>
      <c r="XED30" s="15"/>
      <c r="XEE30" s="15"/>
      <c r="XEF30" s="15"/>
      <c r="XEG30" s="15"/>
      <c r="XEH30" s="15"/>
      <c r="XEI30" s="15"/>
      <c r="XEJ30" s="15"/>
    </row>
    <row r="31" s="3" customFormat="1" ht="27" customHeight="1" spans="1:16364">
      <c r="A31" s="7">
        <v>45716</v>
      </c>
      <c r="B31" s="8"/>
      <c r="C31" s="8"/>
      <c r="D31" s="8"/>
      <c r="E31" s="8">
        <v>20.26</v>
      </c>
      <c r="F31" s="8">
        <v>1186.14</v>
      </c>
      <c r="G31" s="8"/>
      <c r="H31" s="8"/>
      <c r="I31" s="8"/>
      <c r="J31" s="8">
        <v>28.56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12">
        <f t="shared" si="0"/>
        <v>1234.96</v>
      </c>
      <c r="Z31" s="13">
        <v>5258</v>
      </c>
      <c r="AA31" s="8">
        <f t="shared" si="1"/>
        <v>73559.92</v>
      </c>
      <c r="AB31" s="13"/>
      <c r="XEA31" s="15"/>
      <c r="XEB31" s="15"/>
      <c r="XEC31" s="15"/>
      <c r="XED31" s="15"/>
      <c r="XEE31" s="15"/>
      <c r="XEF31" s="15"/>
      <c r="XEG31" s="15"/>
      <c r="XEH31" s="15"/>
      <c r="XEI31" s="15"/>
      <c r="XEJ31" s="15"/>
    </row>
    <row r="32" s="3" customFormat="1" ht="27" customHeight="1" spans="1:16364">
      <c r="A32" s="9" t="s">
        <v>36</v>
      </c>
      <c r="B32" s="9">
        <f>SUM(B4:B31)</f>
        <v>1958.84</v>
      </c>
      <c r="C32" s="9">
        <f t="shared" ref="C32:H32" si="2">SUM(C4:C31)</f>
        <v>2485.74</v>
      </c>
      <c r="D32" s="9">
        <f t="shared" si="2"/>
        <v>2386.82</v>
      </c>
      <c r="E32" s="9">
        <f t="shared" si="2"/>
        <v>2464.5</v>
      </c>
      <c r="F32" s="9">
        <f t="shared" si="2"/>
        <v>4964.28</v>
      </c>
      <c r="G32" s="9">
        <f t="shared" si="2"/>
        <v>4962.66</v>
      </c>
      <c r="H32" s="9">
        <f t="shared" si="2"/>
        <v>10428.96</v>
      </c>
      <c r="I32" s="9">
        <f>SUM(I4:I31)</f>
        <v>18533.02</v>
      </c>
      <c r="J32" s="9">
        <f>SUM(J4:J31)</f>
        <v>32324.05</v>
      </c>
      <c r="K32" s="9">
        <f>SUM(K4:K31)</f>
        <v>27248.69</v>
      </c>
      <c r="L32" s="9">
        <f>SUM(L4:L31)</f>
        <v>492.9</v>
      </c>
      <c r="M32" s="9">
        <f>SUM(M4:M31)</f>
        <v>14773.68</v>
      </c>
      <c r="N32" s="9">
        <f>SUM(N4:N31)</f>
        <v>9279.44</v>
      </c>
      <c r="O32" s="9">
        <f>SUM(O4:O31)</f>
        <v>10732.63</v>
      </c>
      <c r="P32" s="9">
        <f t="shared" ref="P32:Z32" si="3">SUM(P4:P31)</f>
        <v>12060.04</v>
      </c>
      <c r="Q32" s="9">
        <f t="shared" si="3"/>
        <v>28856.62</v>
      </c>
      <c r="R32" s="9">
        <f t="shared" si="3"/>
        <v>425.04</v>
      </c>
      <c r="S32" s="9">
        <f t="shared" si="3"/>
        <v>1500.5</v>
      </c>
      <c r="T32" s="9">
        <f t="shared" si="3"/>
        <v>6664.68</v>
      </c>
      <c r="U32" s="9">
        <f t="shared" si="3"/>
        <v>2181.68</v>
      </c>
      <c r="V32" s="9">
        <f t="shared" si="3"/>
        <v>3809.76</v>
      </c>
      <c r="W32" s="9">
        <f t="shared" si="3"/>
        <v>1967.76</v>
      </c>
      <c r="X32" s="9">
        <f t="shared" si="3"/>
        <v>888.72</v>
      </c>
      <c r="Y32" s="9">
        <f t="shared" si="3"/>
        <v>201391.01</v>
      </c>
      <c r="Z32" s="9">
        <f t="shared" si="3"/>
        <v>195546</v>
      </c>
      <c r="AA32" s="9"/>
      <c r="AB32" s="13"/>
      <c r="XEA32" s="15"/>
      <c r="XEB32" s="15"/>
      <c r="XEC32" s="15"/>
      <c r="XED32" s="15"/>
      <c r="XEE32" s="15"/>
      <c r="XEF32" s="15"/>
      <c r="XEG32" s="15"/>
      <c r="XEH32" s="15"/>
      <c r="XEI32" s="15"/>
      <c r="XEJ32" s="15"/>
    </row>
    <row r="33" s="4" customFormat="1" spans="16382:16384">
      <c r="XFB33"/>
      <c r="XFC33"/>
      <c r="XFD33"/>
    </row>
    <row r="34" s="4" customFormat="1" spans="16382:16384">
      <c r="XFB34"/>
      <c r="XFC34"/>
      <c r="XFD34"/>
    </row>
    <row r="35" s="4" customFormat="1" spans="16382:16384">
      <c r="XFB35"/>
      <c r="XFC35"/>
      <c r="XFD35"/>
    </row>
  </sheetData>
  <mergeCells count="10">
    <mergeCell ref="A1:AB1"/>
    <mergeCell ref="B2:H2"/>
    <mergeCell ref="J2:O2"/>
    <mergeCell ref="P2:Q2"/>
    <mergeCell ref="R2:T2"/>
    <mergeCell ref="U2:V2"/>
    <mergeCell ref="W2:X2"/>
    <mergeCell ref="A2:A3"/>
    <mergeCell ref="Y2:Y3"/>
    <mergeCell ref="Z2:Z3"/>
  </mergeCells>
  <printOptions horizontalCentered="1" verticalCentered="1"/>
  <pageMargins left="0.196527777777778" right="0.196527777777778" top="0.393055555555556" bottom="0.393055555555556" header="0.101388888888889" footer="0"/>
  <pageSetup paperSize="9" scale="4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梁晶</dc:creator>
  <cp:lastModifiedBy>梁晶</cp:lastModifiedBy>
  <dcterms:created xsi:type="dcterms:W3CDTF">2022-08-01T22:45:00Z</dcterms:created>
  <dcterms:modified xsi:type="dcterms:W3CDTF">2025-03-01T01:48:28Z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9E5780B153A055781F020D642C1D235A_33</vt:lpwstr>
  </property>
  <property fmtid="{D5CDD505-2E9C-101B-9397-08002B2CF9AE}" pid="3" name="KSOProductBuildVer">
    <vt:lpwstr>2052-12.1.0.19768</vt:lpwstr>
  </property>
  <property fmtid="{D5CDD505-2E9C-101B-9397-08002B2CF9AE}" pid="4" name="KSOReadingLayout">
    <vt:bool>true</vt:bool>
  </property>
</Properties>
</file>