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2"/>
  <workbookPr/>
  <mc:AlternateContent xmlns:mc="http://schemas.openxmlformats.org/markup-compatibility/2006">
    <mc:Choice Requires="x15">
      <x15ac:absPath xmlns:x15ac="http://schemas.microsoft.com/office/spreadsheetml/2010/11/ac" url="https://gskt-my.sharepoint.com/personal/yangguang_hmrd_tk/Documents/11_2025/05_燃料管理/入厂煤/"/>
    </mc:Choice>
  </mc:AlternateContent>
  <xr:revisionPtr revIDLastSave="13" documentId="11_65B1369C5BE0D7F0782B09D04B5ED87656CD7A28" xr6:coauthVersionLast="47" xr6:coauthVersionMax="47" xr10:uidLastSave="{2D19B960-B787-4AFB-823A-5063AB62A246}"/>
  <bookViews>
    <workbookView xWindow="28680" yWindow="-120" windowWidth="29040" windowHeight="158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</calcChain>
</file>

<file path=xl/sharedStrings.xml><?xml version="1.0" encoding="utf-8"?>
<sst xmlns="http://schemas.openxmlformats.org/spreadsheetml/2006/main" count="48" uniqueCount="44">
  <si>
    <t>序号</t>
  </si>
  <si>
    <t>公司名称</t>
  </si>
  <si>
    <t>报表月份供应商</t>
  </si>
  <si>
    <t>供应商全称</t>
  </si>
  <si>
    <t>来煤量</t>
  </si>
  <si>
    <t>化验日期</t>
  </si>
  <si>
    <t>全水Mt</t>
  </si>
  <si>
    <t>灰分空干基Aad</t>
  </si>
  <si>
    <t>挥发份Vdaf</t>
  </si>
  <si>
    <t>固定碳</t>
  </si>
  <si>
    <t>全硫</t>
  </si>
  <si>
    <t>发热量</t>
  </si>
  <si>
    <t>大同煤矿集团朔煤小峪煤业有限公司（10-1宝特）</t>
  </si>
  <si>
    <t>2025-01-大同煤矿集团朔煤小峪煤业有限公司</t>
  </si>
  <si>
    <t>大同煤矿集团朔煤小峪煤业有限公司</t>
  </si>
  <si>
    <t>大同煤矿集团朔煤小峪煤业有限公司（11-1宝特）</t>
  </si>
  <si>
    <t>晋能控股煤业集团翼城华泓煤业有限公司（1-1）</t>
  </si>
  <si>
    <t>2025-01-晋能控股煤业集团翼城华泓煤业有限公司</t>
  </si>
  <si>
    <t>晋能控股煤业集团翼城华泓煤业有限公司</t>
  </si>
  <si>
    <t>晋能控股煤业集团翼城华泓煤业有限公司（12-1）</t>
  </si>
  <si>
    <t>山西汾河焦煤股份有限公司三交河煤矿（1-1）</t>
  </si>
  <si>
    <t>2025-01-山西汾河焦煤股份有限公司三交河煤矿</t>
  </si>
  <si>
    <t>山西汾河焦煤股份有限公司三交河煤矿</t>
  </si>
  <si>
    <t>山西焦煤霍州煤电雪坪煤业有限公司（1-1）</t>
  </si>
  <si>
    <t>2025-01-山西焦煤霍州煤电雪坪煤业有限公司</t>
  </si>
  <si>
    <t>山西焦煤霍州煤电雪坪煤业有限公司</t>
  </si>
  <si>
    <t>山西焦煤集团金辛达煤业（1-1）</t>
  </si>
  <si>
    <t>2025-01-山西焦煤集团金辛达煤业</t>
  </si>
  <si>
    <t>山西焦煤集团金辛达煤业</t>
  </si>
  <si>
    <t>山西煤炭运销集团莲盛有限公司（12-1火车）</t>
  </si>
  <si>
    <t>2025-01-山西煤炭运销集团莲盛有限公司</t>
  </si>
  <si>
    <t>山西煤炭运销集团莲盛有限公司</t>
  </si>
  <si>
    <t>山西煤炭运销集团野川有限公司（12-1）</t>
  </si>
  <si>
    <t>2025-01-山西煤炭运销集团野川有限公司</t>
  </si>
  <si>
    <t>山西煤炭运销集团野川有限公司</t>
  </si>
  <si>
    <t>山西乡宁焦煤集团富康源煤业有限公司（1-1）</t>
  </si>
  <si>
    <t>2025-01-山西乡宁焦煤集团富康源煤业有限公司</t>
  </si>
  <si>
    <t>山西乡宁焦煤集团富康源煤业有限公司</t>
  </si>
  <si>
    <t>太原煤气化龙泉能源（11-1宝特火车）</t>
  </si>
  <si>
    <t>2025-01-太原煤气化龙泉能源</t>
  </si>
  <si>
    <t>太原煤气化龙泉能源</t>
  </si>
  <si>
    <t>阳泉煤业集团翼城山凹煤业有限公司（1-1）</t>
  </si>
  <si>
    <t>2025-01-阳泉煤业集团翼城山凹煤业有限公司</t>
  </si>
  <si>
    <t>阳泉煤业集团翼城山凹煤业有限公司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</si>
</sst>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0" applyNumberFormat="1"/>
  </cellXfs>
  <cellStyles count="2">
    <cellStyle name="常规" xfId="0" builtinId="0"/>
    <cellStyle name="常规 2" xfId="1" xr:uid="{A29E73E0-3A51-47D2-BD52-9DF8CDFA5D27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topLeftCell="C1" workbookViewId="0">
      <selection activeCell="F19" sqref="F19"/>
    </sheetView>
  </sheetViews>
  <sheetFormatPr defaultRowHeight="13.5"/>
  <cols>
    <col min="1" max="1" width="5.75" bestFit="1" customWidth="1"/>
    <col min="2" max="2" width="46.625" bestFit="1" customWidth="1"/>
    <col min="3" max="3" width="46.875" bestFit="1" customWidth="1"/>
    <col min="4" max="4" width="38" bestFit="1" customWidth="1"/>
    <col min="5" max="5" width="9.5" bestFit="1" customWidth="1"/>
    <col min="6" max="6" width="21.625" bestFit="1" customWidth="1"/>
    <col min="7" max="7" width="8" bestFit="1" customWidth="1"/>
    <col min="8" max="8" width="15.625" bestFit="1" customWidth="1"/>
    <col min="9" max="9" width="12.5" bestFit="1" customWidth="1"/>
    <col min="10" max="10" width="7.75" bestFit="1" customWidth="1"/>
    <col min="11" max="11" width="5.75" bestFit="1" customWidth="1"/>
    <col min="12" max="12" width="7.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14</v>
      </c>
      <c r="E2">
        <v>3442.2</v>
      </c>
      <c r="F2" s="2">
        <v>45658</v>
      </c>
      <c r="G2">
        <v>6.2</v>
      </c>
      <c r="H2">
        <v>35.46</v>
      </c>
      <c r="I2">
        <v>37.6</v>
      </c>
      <c r="J2">
        <v>39.950000000000003</v>
      </c>
      <c r="K2">
        <v>0.49</v>
      </c>
      <c r="L2">
        <v>4360</v>
      </c>
    </row>
    <row r="3" spans="1:12">
      <c r="A3">
        <v>2</v>
      </c>
      <c r="B3" t="s">
        <v>15</v>
      </c>
      <c r="C3" t="s">
        <v>13</v>
      </c>
      <c r="D3" t="s">
        <v>14</v>
      </c>
      <c r="E3">
        <v>5756.2</v>
      </c>
      <c r="F3" s="2">
        <v>45658</v>
      </c>
      <c r="G3">
        <v>6.1</v>
      </c>
      <c r="H3">
        <v>35.130000000000003</v>
      </c>
      <c r="I3">
        <v>38.119999999999997</v>
      </c>
      <c r="J3">
        <v>39.83</v>
      </c>
      <c r="K3">
        <v>0.49</v>
      </c>
      <c r="L3">
        <v>4381</v>
      </c>
    </row>
    <row r="4" spans="1:12">
      <c r="A4">
        <v>3</v>
      </c>
      <c r="B4" t="s">
        <v>16</v>
      </c>
      <c r="C4" t="s">
        <v>17</v>
      </c>
      <c r="D4" t="s">
        <v>18</v>
      </c>
      <c r="E4">
        <v>27057.91</v>
      </c>
      <c r="F4" s="2">
        <v>45658</v>
      </c>
      <c r="G4">
        <v>4.5</v>
      </c>
      <c r="H4">
        <v>33.22</v>
      </c>
      <c r="I4">
        <v>15.42</v>
      </c>
      <c r="J4">
        <v>56.29</v>
      </c>
      <c r="K4">
        <v>3.29</v>
      </c>
      <c r="L4">
        <v>4877</v>
      </c>
    </row>
    <row r="5" spans="1:12">
      <c r="A5">
        <v>4</v>
      </c>
      <c r="B5" t="s">
        <v>19</v>
      </c>
      <c r="C5" t="s">
        <v>17</v>
      </c>
      <c r="D5" t="s">
        <v>18</v>
      </c>
      <c r="E5">
        <v>2917.8</v>
      </c>
      <c r="F5" s="2">
        <v>45658</v>
      </c>
      <c r="G5">
        <v>4.8</v>
      </c>
      <c r="H5">
        <v>29.8</v>
      </c>
      <c r="I5">
        <v>13.03</v>
      </c>
      <c r="J5">
        <v>60.82</v>
      </c>
      <c r="K5">
        <v>3.35</v>
      </c>
      <c r="L5">
        <v>5177</v>
      </c>
    </row>
    <row r="6" spans="1:12">
      <c r="A6">
        <v>5</v>
      </c>
      <c r="B6" t="s">
        <v>20</v>
      </c>
      <c r="C6" t="s">
        <v>21</v>
      </c>
      <c r="D6" t="s">
        <v>22</v>
      </c>
      <c r="E6">
        <v>2502.7600000000002</v>
      </c>
      <c r="F6" s="2">
        <v>45658</v>
      </c>
      <c r="G6">
        <v>14.1</v>
      </c>
      <c r="H6">
        <v>31.89</v>
      </c>
      <c r="I6">
        <v>34.24</v>
      </c>
      <c r="J6">
        <v>44.49</v>
      </c>
      <c r="K6">
        <v>1.91</v>
      </c>
      <c r="L6">
        <v>4422</v>
      </c>
    </row>
    <row r="7" spans="1:12">
      <c r="A7">
        <v>6</v>
      </c>
      <c r="B7" t="s">
        <v>23</v>
      </c>
      <c r="C7" t="s">
        <v>24</v>
      </c>
      <c r="D7" t="s">
        <v>25</v>
      </c>
      <c r="E7">
        <v>2876.64</v>
      </c>
      <c r="F7" s="2">
        <v>45658</v>
      </c>
      <c r="G7">
        <v>3.7</v>
      </c>
      <c r="H7">
        <v>52.53</v>
      </c>
      <c r="I7">
        <v>33.86</v>
      </c>
      <c r="J7">
        <v>31.26</v>
      </c>
      <c r="K7">
        <v>2.61</v>
      </c>
      <c r="L7">
        <v>3089</v>
      </c>
    </row>
    <row r="8" spans="1:12">
      <c r="A8">
        <v>7</v>
      </c>
      <c r="B8" t="s">
        <v>26</v>
      </c>
      <c r="C8" t="s">
        <v>27</v>
      </c>
      <c r="D8" t="s">
        <v>28</v>
      </c>
      <c r="E8">
        <v>523.46</v>
      </c>
      <c r="F8" s="2">
        <v>45658</v>
      </c>
      <c r="G8">
        <v>4</v>
      </c>
      <c r="H8">
        <v>40.840000000000003</v>
      </c>
      <c r="I8">
        <v>30.27</v>
      </c>
      <c r="J8">
        <v>40.909999999999997</v>
      </c>
      <c r="K8">
        <v>1.0900000000000001</v>
      </c>
      <c r="L8">
        <v>4264</v>
      </c>
    </row>
    <row r="9" spans="1:12">
      <c r="A9">
        <v>8</v>
      </c>
      <c r="B9" t="s">
        <v>29</v>
      </c>
      <c r="C9" t="s">
        <v>30</v>
      </c>
      <c r="D9" t="s">
        <v>31</v>
      </c>
      <c r="E9">
        <v>77163.16</v>
      </c>
      <c r="F9" s="2">
        <v>45658</v>
      </c>
      <c r="G9">
        <v>6.6</v>
      </c>
      <c r="H9">
        <v>43.22</v>
      </c>
      <c r="I9">
        <v>43.32</v>
      </c>
      <c r="J9">
        <v>31.94</v>
      </c>
      <c r="K9">
        <v>1.17</v>
      </c>
      <c r="L9">
        <v>3561</v>
      </c>
    </row>
    <row r="10" spans="1:12">
      <c r="A10">
        <v>9</v>
      </c>
      <c r="B10" t="s">
        <v>32</v>
      </c>
      <c r="C10" t="s">
        <v>33</v>
      </c>
      <c r="D10" t="s">
        <v>34</v>
      </c>
      <c r="E10">
        <v>61.04</v>
      </c>
      <c r="F10" s="2">
        <v>45658</v>
      </c>
      <c r="G10">
        <v>6.5</v>
      </c>
      <c r="H10">
        <v>39.869999999999997</v>
      </c>
      <c r="I10">
        <v>18.48</v>
      </c>
      <c r="J10">
        <v>48.72</v>
      </c>
      <c r="K10">
        <v>0.36</v>
      </c>
      <c r="L10">
        <v>4156</v>
      </c>
    </row>
    <row r="11" spans="1:12">
      <c r="A11">
        <v>10</v>
      </c>
      <c r="B11" t="s">
        <v>35</v>
      </c>
      <c r="C11" t="s">
        <v>36</v>
      </c>
      <c r="D11" t="s">
        <v>37</v>
      </c>
      <c r="E11">
        <v>986.26</v>
      </c>
      <c r="F11" s="2">
        <v>45658</v>
      </c>
      <c r="G11">
        <v>7.9</v>
      </c>
      <c r="H11">
        <v>39.590000000000003</v>
      </c>
      <c r="I11">
        <v>31.6</v>
      </c>
      <c r="J11">
        <v>40.97</v>
      </c>
      <c r="K11">
        <v>1.49</v>
      </c>
      <c r="L11">
        <v>4057</v>
      </c>
    </row>
    <row r="12" spans="1:12">
      <c r="A12">
        <v>11</v>
      </c>
      <c r="B12" t="s">
        <v>38</v>
      </c>
      <c r="C12" t="s">
        <v>39</v>
      </c>
      <c r="D12" t="s">
        <v>40</v>
      </c>
      <c r="E12">
        <v>3824.5</v>
      </c>
      <c r="F12" s="2">
        <v>45658</v>
      </c>
      <c r="G12">
        <v>6.1</v>
      </c>
      <c r="H12">
        <v>33.78</v>
      </c>
      <c r="I12">
        <v>31.41</v>
      </c>
      <c r="J12">
        <v>45.06</v>
      </c>
      <c r="K12">
        <v>0.44</v>
      </c>
      <c r="L12">
        <v>4559</v>
      </c>
    </row>
    <row r="13" spans="1:12">
      <c r="A13">
        <v>12</v>
      </c>
      <c r="B13" t="s">
        <v>41</v>
      </c>
      <c r="C13" t="s">
        <v>42</v>
      </c>
      <c r="D13" t="s">
        <v>43</v>
      </c>
      <c r="E13">
        <v>15211.08</v>
      </c>
      <c r="F13" s="2">
        <v>45658</v>
      </c>
      <c r="G13">
        <v>4.3</v>
      </c>
      <c r="H13">
        <v>55.6</v>
      </c>
      <c r="I13">
        <v>27.32</v>
      </c>
      <c r="J13">
        <v>32.1</v>
      </c>
      <c r="K13">
        <v>3.12</v>
      </c>
      <c r="L13">
        <v>2620</v>
      </c>
    </row>
    <row r="18" spans="6:6">
      <c r="F18">
        <f>SUMPRODUCT(L2:L13,E2:E13)/SUM(E2:E13)</f>
        <v>3834.9374279675512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杨光</cp:lastModifiedBy>
  <cp:revision/>
  <dcterms:created xsi:type="dcterms:W3CDTF">2025-02-01T03:45:57Z</dcterms:created>
  <dcterms:modified xsi:type="dcterms:W3CDTF">2025-02-06T20:16:45Z</dcterms:modified>
  <cp:category/>
  <cp:contentStatus/>
</cp:coreProperties>
</file>