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9555" tabRatio="672"/>
  </bookViews>
  <sheets>
    <sheet name="2025.03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<sst xmlns="http://schemas.openxmlformats.org/spreadsheetml/2006/main" count="32" uniqueCount="32">
  <si>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2025年3月侯马热电收耗存数据</t>
  </si>
  <si>
    <t>日期</t>
  </si>
  <si>
    <t>焦煤</t>
  </si>
  <si>
    <t>地方</t>
  </si>
  <si>
    <t>太原煤气化</t>
  </si>
  <si>
    <t>煤业集团</t>
  </si>
  <si>
    <t>轩岗煤电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</si>
  <si>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</si>
  <si>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</si>
  <si>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</si>
  <si>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</si>
  <si>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</si>
  <si>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</si>
  <si>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金辛达(G)
3-1</t>
  </si>
  <si>
    <t>晋牛(G)
3-1</t>
  </si>
  <si>
    <t>三交河(G)
3-1</t>
  </si>
  <si>
    <t>雪坪(G)
3-1</t>
  </si>
  <si>
    <t>杜家沟(G)
3-1</t>
  </si>
  <si>
    <t>山焦物流
2-1</t>
  </si>
  <si>
    <t>富康源(G)</t>
  </si>
  <si>
    <t>华泓（G）
3-1</t>
  </si>
  <si>
    <t>山凹（G）
3-1</t>
  </si>
  <si>
    <t>龙泉（T）
1-1</t>
  </si>
  <si>
    <t>龙泉（T）
2-1</t>
  </si>
  <si>
    <t>炉峪口（T）
3-1</t>
  </si>
  <si>
    <t>北辛窑（T）3-1</t>
  </si>
  <si>
    <t>梨园河（T）3-1</t>
  </si>
  <si>
    <t>莲盛（T）
2-1</t>
  </si>
  <si>
    <t>莲盛（T）
3-1</t>
  </si>
  <si>
    <t>四明山（G）</t>
  </si>
  <si>
    <t>野川（G）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</si>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</sst>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4211;&#23384;&#21450;&#24635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2入厂"/>
      <sheetName val="2023入厂"/>
      <sheetName val="2024入厂"/>
      <sheetName val="2025入厂"/>
      <sheetName val="月收耗存统计"/>
      <sheetName val="库存"/>
      <sheetName val="给煤机VS皮带秤"/>
      <sheetName val="3.29上报库存"/>
      <sheetName val="2021年"/>
      <sheetName val="Sheet1"/>
    </sheetNames>
    <sheetDataSet>
      <sheetData sheetId="0"/>
      <sheetData sheetId="1"/>
      <sheetData sheetId="2"/>
      <sheetData sheetId="3"/>
      <sheetData sheetId="4"/>
      <sheetData sheetId="5">
        <row r="1408">
          <cell r="F1408">
            <v>6275</v>
          </cell>
        </row>
        <row r="1417">
          <cell r="F1417">
            <v>4436</v>
          </cell>
        </row>
        <row r="1418">
          <cell r="F1418">
            <v>5544</v>
          </cell>
        </row>
        <row r="1420">
          <cell r="F1420">
            <v>7426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W36"/>
  <sheetViews>
    <sheetView tabSelected="1" workbookViewId="0">
      <pane ySplit="3" topLeftCell="A8" activePane="bottomLeft" state="frozen"/>
      <selection/>
      <selection pane="bottomLeft" activeCell="X32" sqref="X32"/>
    </sheetView>
  </sheetViews>
  <sheetFormatPr defaultColWidth="9.64166666666667" defaultRowHeight="13.5"/>
  <cols>
    <col min="1" max="1" width="12.775" style="4" customWidth="1"/>
    <col min="2" max="2" width="10.525" style="4" hidden="1" customWidth="1"/>
    <col min="3" max="7" width="10.525" style="4" customWidth="1"/>
    <col min="8" max="8" width="10.525" style="4" hidden="1" customWidth="1"/>
    <col min="9" max="12" width="11.525" style="4" customWidth="1"/>
    <col min="13" max="13" width="12.8333333333333" style="4" customWidth="1"/>
    <col min="14" max="16" width="12.05" style="4" customWidth="1"/>
    <col min="17" max="17" width="11.8833333333333" style="4" customWidth="1"/>
    <col min="18" max="19" width="12.3166666666667" style="4" hidden="1" customWidth="1"/>
    <col min="20" max="21" width="12.8666666666667" style="4" customWidth="1"/>
    <col min="22" max="22" width="14.8333333333333" style="4" customWidth="1"/>
    <col min="23" max="23" width="8.95" style="4" customWidth="1"/>
    <col min="24" max="16347" width="8.95" style="4"/>
    <col min="16348" max="16356" width="9.7" style="4"/>
    <col min="16357" max="16374" width="9.675" style="4"/>
    <col min="16375" max="16384" width="9.64166666666667" style="5"/>
  </cols>
  <sheetData>
    <row r="1" s="1" customFormat="1" ht="34" customHeight="1" spans="1:2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="2" customFormat="1" ht="30" customHeight="1" spans="1:16357">
      <c r="A2" s="7" t="s">
        <v>1</v>
      </c>
      <c r="B2" s="7" t="s">
        <v>2</v>
      </c>
      <c r="C2" s="7"/>
      <c r="D2" s="7"/>
      <c r="E2" s="7"/>
      <c r="F2" s="7"/>
      <c r="G2" s="7"/>
      <c r="H2" s="7" t="s">
        <v>3</v>
      </c>
      <c r="I2" s="7" t="s">
        <v>4</v>
      </c>
      <c r="J2" s="7"/>
      <c r="K2" s="7"/>
      <c r="L2" s="7"/>
      <c r="M2" s="7"/>
      <c r="N2" s="7" t="s">
        <v>5</v>
      </c>
      <c r="O2" s="7" t="s">
        <v>6</v>
      </c>
      <c r="P2" s="7" t="s">
        <v>7</v>
      </c>
      <c r="Q2" s="7"/>
      <c r="R2" s="7" t="s">
        <v>8</v>
      </c>
      <c r="S2" s="7"/>
      <c r="T2" s="7" t="s">
        <v>9</v>
      </c>
      <c r="U2" s="7" t="s">
        <v>10</v>
      </c>
      <c r="V2" s="12" t="s">
        <v>11</v>
      </c>
      <c r="W2" s="12" t="s">
        <v>12</v>
      </c>
      <c r="XDT2" s="15"/>
      <c r="XDU2" s="15"/>
      <c r="XDV2" s="15"/>
      <c r="XDW2" s="15"/>
      <c r="XDX2" s="15"/>
      <c r="XDY2" s="15"/>
      <c r="XDZ2" s="15"/>
      <c r="XEA2" s="15"/>
      <c r="XEB2" s="15"/>
      <c r="XEC2" s="15"/>
    </row>
    <row r="3" s="2" customFormat="1" ht="39" customHeight="1" spans="1:16357">
      <c r="A3" s="7"/>
      <c r="B3" s="7" t="s">
        <v>13</v>
      </c>
      <c r="C3" s="7" t="s">
        <v>14</v>
      </c>
      <c r="D3" s="7" t="s">
        <v>15</v>
      </c>
      <c r="E3" s="7" t="s">
        <v>16</v>
      </c>
      <c r="F3" s="7" t="s">
        <v>17</v>
      </c>
      <c r="G3" s="7" t="s">
        <v>18</v>
      </c>
      <c r="H3" s="7" t="s">
        <v>19</v>
      </c>
      <c r="I3" s="7" t="s">
        <v>20</v>
      </c>
      <c r="J3" s="7" t="s">
        <v>21</v>
      </c>
      <c r="K3" s="7" t="s">
        <v>22</v>
      </c>
      <c r="L3" s="7" t="s">
        <v>23</v>
      </c>
      <c r="M3" s="7" t="s">
        <v>24</v>
      </c>
      <c r="N3" s="7" t="s">
        <v>25</v>
      </c>
      <c r="O3" s="7" t="s">
        <v>26</v>
      </c>
      <c r="P3" s="7" t="s">
        <v>27</v>
      </c>
      <c r="Q3" s="7" t="s">
        <v>28</v>
      </c>
      <c r="R3" s="7" t="s">
        <v>29</v>
      </c>
      <c r="S3" s="7" t="s">
        <v>30</v>
      </c>
      <c r="T3" s="7"/>
      <c r="U3" s="7"/>
      <c r="V3" s="13">
        <v>70439.92</v>
      </c>
      <c r="W3" s="12"/>
      <c r="XDT3" s="15"/>
      <c r="XDU3" s="15"/>
      <c r="XDV3" s="15"/>
      <c r="XDW3" s="15"/>
      <c r="XDX3" s="15"/>
      <c r="XDY3" s="15"/>
      <c r="XDZ3" s="15"/>
      <c r="XEA3" s="15"/>
      <c r="XEB3" s="15"/>
      <c r="XEC3" s="15"/>
    </row>
    <row r="4" s="3" customFormat="1" ht="27" customHeight="1" spans="1:16357">
      <c r="A4" s="8">
        <v>45717</v>
      </c>
      <c r="B4" s="9"/>
      <c r="C4" s="9"/>
      <c r="D4" s="9"/>
      <c r="E4" s="9"/>
      <c r="F4" s="9"/>
      <c r="G4" s="9">
        <v>2271.84</v>
      </c>
      <c r="H4" s="9"/>
      <c r="I4" s="9"/>
      <c r="J4" s="9"/>
      <c r="K4" s="9"/>
      <c r="L4" s="9"/>
      <c r="M4" s="9"/>
      <c r="N4" s="9"/>
      <c r="O4" s="9"/>
      <c r="P4" s="9">
        <v>4314.16</v>
      </c>
      <c r="Q4" s="9"/>
      <c r="R4" s="9"/>
      <c r="S4" s="9"/>
      <c r="T4" s="11">
        <f t="shared" ref="T4:T34" si="0">SUM(B4:S4)</f>
        <v>6586</v>
      </c>
      <c r="U4" s="14">
        <v>7522</v>
      </c>
      <c r="V4" s="9">
        <f t="shared" ref="V4:V34" si="1">V3+T4-U4</f>
        <v>69503.92</v>
      </c>
      <c r="W4" s="14"/>
      <c r="XDT4" s="16"/>
      <c r="XDU4" s="16"/>
      <c r="XDV4" s="16"/>
      <c r="XDW4" s="16"/>
      <c r="XDX4" s="16"/>
      <c r="XDY4" s="16"/>
      <c r="XDZ4" s="16"/>
      <c r="XEA4" s="16"/>
      <c r="XEB4" s="16"/>
      <c r="XEC4" s="16"/>
    </row>
    <row r="5" s="3" customFormat="1" ht="27" customHeight="1" spans="1:16357">
      <c r="A5" s="8">
        <v>45718</v>
      </c>
      <c r="B5" s="9"/>
      <c r="C5" s="9"/>
      <c r="D5" s="9"/>
      <c r="E5" s="9"/>
      <c r="F5" s="9"/>
      <c r="G5" s="9">
        <v>2415.24</v>
      </c>
      <c r="H5" s="9"/>
      <c r="I5" s="9"/>
      <c r="J5" s="9"/>
      <c r="K5" s="9"/>
      <c r="L5" s="9"/>
      <c r="M5" s="9"/>
      <c r="N5" s="9"/>
      <c r="O5" s="9"/>
      <c r="P5" s="9">
        <v>4383.92</v>
      </c>
      <c r="Q5" s="9"/>
      <c r="R5" s="9"/>
      <c r="S5" s="9"/>
      <c r="T5" s="11">
        <f t="shared" si="0"/>
        <v>6799.16</v>
      </c>
      <c r="U5" s="14">
        <f>[1]库存!$F$1408</f>
        <v>6275</v>
      </c>
      <c r="V5" s="9">
        <f t="shared" si="1"/>
        <v>70028.08</v>
      </c>
      <c r="W5" s="14"/>
      <c r="XDT5" s="16"/>
      <c r="XDU5" s="16"/>
      <c r="XDV5" s="16"/>
      <c r="XDW5" s="16"/>
      <c r="XDX5" s="16"/>
      <c r="XDY5" s="16"/>
      <c r="XDZ5" s="16"/>
      <c r="XEA5" s="16"/>
      <c r="XEB5" s="16"/>
      <c r="XEC5" s="16"/>
    </row>
    <row r="6" s="3" customFormat="1" ht="27" customHeight="1" spans="1:16357">
      <c r="A6" s="8">
        <v>45719</v>
      </c>
      <c r="B6" s="9"/>
      <c r="C6" s="9"/>
      <c r="D6" s="9"/>
      <c r="E6" s="9"/>
      <c r="F6" s="9"/>
      <c r="G6" s="9">
        <v>1620.06</v>
      </c>
      <c r="H6" s="9"/>
      <c r="I6" s="9"/>
      <c r="J6" s="9"/>
      <c r="K6" s="9"/>
      <c r="L6" s="9"/>
      <c r="M6" s="9"/>
      <c r="N6" s="9"/>
      <c r="O6" s="9"/>
      <c r="P6" s="9">
        <v>4379.76</v>
      </c>
      <c r="Q6" s="9"/>
      <c r="R6" s="9"/>
      <c r="S6" s="9"/>
      <c r="T6" s="11">
        <f t="shared" si="0"/>
        <v>5999.82</v>
      </c>
      <c r="U6" s="14">
        <v>7022</v>
      </c>
      <c r="V6" s="9">
        <f t="shared" si="1"/>
        <v>69005.9</v>
      </c>
      <c r="W6" s="14"/>
      <c r="XDT6" s="16"/>
      <c r="XDU6" s="16"/>
      <c r="XDV6" s="16"/>
      <c r="XDW6" s="16"/>
      <c r="XDX6" s="16"/>
      <c r="XDY6" s="16"/>
      <c r="XDZ6" s="16"/>
      <c r="XEA6" s="16"/>
      <c r="XEB6" s="16"/>
      <c r="XEC6" s="16"/>
    </row>
    <row r="7" s="3" customFormat="1" ht="27" customHeight="1" spans="1:16357">
      <c r="A7" s="8">
        <v>45720</v>
      </c>
      <c r="B7" s="9"/>
      <c r="C7" s="9"/>
      <c r="D7" s="9"/>
      <c r="E7" s="9"/>
      <c r="F7" s="9"/>
      <c r="G7" s="9">
        <v>1838.12</v>
      </c>
      <c r="H7" s="9"/>
      <c r="I7" s="9"/>
      <c r="J7" s="9">
        <v>2217.94</v>
      </c>
      <c r="K7" s="9"/>
      <c r="L7" s="9"/>
      <c r="M7" s="9"/>
      <c r="N7" s="9"/>
      <c r="O7" s="9"/>
      <c r="P7" s="9">
        <v>5226.42</v>
      </c>
      <c r="Q7" s="9"/>
      <c r="R7" s="9"/>
      <c r="S7" s="9"/>
      <c r="T7" s="11">
        <f t="shared" si="0"/>
        <v>9282.48</v>
      </c>
      <c r="U7" s="14">
        <v>7614</v>
      </c>
      <c r="V7" s="9">
        <f t="shared" si="1"/>
        <v>70674.38</v>
      </c>
      <c r="W7" s="14"/>
      <c r="XDT7" s="16"/>
      <c r="XDU7" s="16"/>
      <c r="XDV7" s="16"/>
      <c r="XDW7" s="16"/>
      <c r="XDX7" s="16"/>
      <c r="XDY7" s="16"/>
      <c r="XDZ7" s="16"/>
      <c r="XEA7" s="16"/>
      <c r="XEB7" s="16"/>
      <c r="XEC7" s="16"/>
    </row>
    <row r="8" s="3" customFormat="1" ht="27" customHeight="1" spans="1:16357">
      <c r="A8" s="8">
        <v>45721</v>
      </c>
      <c r="B8" s="9"/>
      <c r="C8" s="9"/>
      <c r="D8" s="9"/>
      <c r="E8" s="9"/>
      <c r="F8" s="9"/>
      <c r="G8" s="9">
        <v>1406.94</v>
      </c>
      <c r="H8" s="9"/>
      <c r="I8" s="9"/>
      <c r="J8" s="9"/>
      <c r="K8" s="9"/>
      <c r="L8" s="9"/>
      <c r="M8" s="9"/>
      <c r="N8" s="9"/>
      <c r="O8" s="9"/>
      <c r="P8" s="9">
        <v>7515.14</v>
      </c>
      <c r="Q8" s="9"/>
      <c r="R8" s="9"/>
      <c r="S8" s="9"/>
      <c r="T8" s="11">
        <f t="shared" si="0"/>
        <v>8922.08</v>
      </c>
      <c r="U8" s="14">
        <v>6944</v>
      </c>
      <c r="V8" s="9">
        <f t="shared" si="1"/>
        <v>72652.46</v>
      </c>
      <c r="W8" s="14"/>
      <c r="XDT8" s="16"/>
      <c r="XDU8" s="16"/>
      <c r="XDV8" s="16"/>
      <c r="XDW8" s="16"/>
      <c r="XDX8" s="16"/>
      <c r="XDY8" s="16"/>
      <c r="XDZ8" s="16"/>
      <c r="XEA8" s="16"/>
      <c r="XEB8" s="16"/>
      <c r="XEC8" s="16"/>
    </row>
    <row r="9" s="3" customFormat="1" ht="27" customHeight="1" spans="1:16357">
      <c r="A9" s="8">
        <v>45722</v>
      </c>
      <c r="B9" s="9"/>
      <c r="C9" s="9"/>
      <c r="D9" s="9"/>
      <c r="E9" s="9"/>
      <c r="F9" s="9"/>
      <c r="G9" s="9"/>
      <c r="H9" s="9"/>
      <c r="I9" s="9"/>
      <c r="J9" s="9">
        <v>1773.28</v>
      </c>
      <c r="K9" s="9"/>
      <c r="L9" s="9"/>
      <c r="M9" s="9"/>
      <c r="N9" s="9"/>
      <c r="O9" s="9"/>
      <c r="P9" s="9">
        <v>7061.93</v>
      </c>
      <c r="Q9" s="9"/>
      <c r="R9" s="9"/>
      <c r="S9" s="9"/>
      <c r="T9" s="11">
        <f t="shared" si="0"/>
        <v>8835.21</v>
      </c>
      <c r="U9" s="14">
        <v>5431</v>
      </c>
      <c r="V9" s="9">
        <f t="shared" si="1"/>
        <v>76056.67</v>
      </c>
      <c r="W9" s="14"/>
      <c r="XDT9" s="16"/>
      <c r="XDU9" s="16"/>
      <c r="XDV9" s="16"/>
      <c r="XDW9" s="16"/>
      <c r="XDX9" s="16"/>
      <c r="XDY9" s="16"/>
      <c r="XDZ9" s="16"/>
      <c r="XEA9" s="16"/>
      <c r="XEB9" s="16"/>
      <c r="XEC9" s="16"/>
    </row>
    <row r="10" s="3" customFormat="1" ht="27" customHeight="1" spans="1:16357">
      <c r="A10" s="8">
        <v>45723</v>
      </c>
      <c r="B10" s="9"/>
      <c r="C10" s="9"/>
      <c r="D10" s="9"/>
      <c r="E10" s="9"/>
      <c r="F10" s="9"/>
      <c r="G10" s="9"/>
      <c r="H10" s="9"/>
      <c r="I10" s="9"/>
      <c r="J10" s="9">
        <v>2856.12</v>
      </c>
      <c r="K10" s="9">
        <v>3953.94</v>
      </c>
      <c r="L10" s="9"/>
      <c r="M10" s="9"/>
      <c r="N10" s="9"/>
      <c r="O10" s="9"/>
      <c r="P10" s="9"/>
      <c r="Q10" s="9"/>
      <c r="R10" s="9"/>
      <c r="S10" s="9"/>
      <c r="T10" s="11">
        <f t="shared" si="0"/>
        <v>6810.06</v>
      </c>
      <c r="U10" s="14">
        <v>5820</v>
      </c>
      <c r="V10" s="9">
        <f t="shared" si="1"/>
        <v>77046.73</v>
      </c>
      <c r="W10" s="14"/>
      <c r="XDT10" s="16"/>
      <c r="XDU10" s="16"/>
      <c r="XDV10" s="16"/>
      <c r="XDW10" s="16"/>
      <c r="XDX10" s="16"/>
      <c r="XDY10" s="16"/>
      <c r="XDZ10" s="16"/>
      <c r="XEA10" s="16"/>
      <c r="XEB10" s="16"/>
      <c r="XEC10" s="16"/>
    </row>
    <row r="11" s="3" customFormat="1" ht="27" customHeight="1" spans="1:16357">
      <c r="A11" s="8">
        <v>45724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1">
        <f t="shared" si="0"/>
        <v>0</v>
      </c>
      <c r="U11" s="14">
        <v>5258</v>
      </c>
      <c r="V11" s="9">
        <f t="shared" si="1"/>
        <v>71788.73</v>
      </c>
      <c r="W11" s="14"/>
      <c r="XDT11" s="16"/>
      <c r="XDU11" s="16"/>
      <c r="XDV11" s="16"/>
      <c r="XDW11" s="16"/>
      <c r="XDX11" s="16"/>
      <c r="XDY11" s="16"/>
      <c r="XDZ11" s="16"/>
      <c r="XEA11" s="16"/>
      <c r="XEB11" s="16"/>
      <c r="XEC11" s="16"/>
    </row>
    <row r="12" s="3" customFormat="1" ht="27" customHeight="1" spans="1:16357">
      <c r="A12" s="8">
        <v>45725</v>
      </c>
      <c r="B12" s="9"/>
      <c r="C12" s="9"/>
      <c r="D12" s="9"/>
      <c r="E12" s="9"/>
      <c r="F12" s="9"/>
      <c r="G12" s="9"/>
      <c r="H12" s="9"/>
      <c r="I12" s="9"/>
      <c r="J12" s="9"/>
      <c r="K12" s="9">
        <v>6366.02</v>
      </c>
      <c r="L12" s="9"/>
      <c r="M12" s="9"/>
      <c r="N12" s="9"/>
      <c r="O12" s="9"/>
      <c r="P12" s="9"/>
      <c r="Q12" s="9"/>
      <c r="R12" s="9"/>
      <c r="S12" s="9"/>
      <c r="T12" s="11">
        <f t="shared" si="0"/>
        <v>6366.02</v>
      </c>
      <c r="U12" s="14">
        <v>4897</v>
      </c>
      <c r="V12" s="9">
        <f t="shared" si="1"/>
        <v>73257.75</v>
      </c>
      <c r="W12" s="14"/>
      <c r="XDT12" s="16"/>
      <c r="XDU12" s="16"/>
      <c r="XDV12" s="16"/>
      <c r="XDW12" s="16"/>
      <c r="XDX12" s="16"/>
      <c r="XDY12" s="16"/>
      <c r="XDZ12" s="16"/>
      <c r="XEA12" s="16"/>
      <c r="XEB12" s="16"/>
      <c r="XEC12" s="16"/>
    </row>
    <row r="13" s="3" customFormat="1" ht="27" customHeight="1" spans="1:16357">
      <c r="A13" s="8">
        <v>45726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>
        <v>5898.08</v>
      </c>
      <c r="Q13" s="9"/>
      <c r="R13" s="9"/>
      <c r="S13" s="9"/>
      <c r="T13" s="11">
        <f t="shared" si="0"/>
        <v>5898.08</v>
      </c>
      <c r="U13" s="14">
        <v>5480</v>
      </c>
      <c r="V13" s="9">
        <f t="shared" si="1"/>
        <v>73675.83</v>
      </c>
      <c r="W13" s="14"/>
      <c r="XDT13" s="16"/>
      <c r="XDU13" s="16"/>
      <c r="XDV13" s="16"/>
      <c r="XDW13" s="16"/>
      <c r="XDX13" s="16"/>
      <c r="XDY13" s="16"/>
      <c r="XDZ13" s="16"/>
      <c r="XEA13" s="16"/>
      <c r="XEB13" s="16"/>
      <c r="XEC13" s="16"/>
    </row>
    <row r="14" s="3" customFormat="1" ht="27" customHeight="1" spans="1:16357">
      <c r="A14" s="8">
        <v>45727</v>
      </c>
      <c r="B14" s="9"/>
      <c r="C14" s="9"/>
      <c r="D14" s="9"/>
      <c r="E14" s="9"/>
      <c r="F14" s="9"/>
      <c r="G14" s="9"/>
      <c r="H14" s="9"/>
      <c r="I14" s="9"/>
      <c r="J14" s="9">
        <v>2825.42</v>
      </c>
      <c r="K14" s="9">
        <v>604.84</v>
      </c>
      <c r="L14" s="9"/>
      <c r="M14" s="9">
        <v>3553.6</v>
      </c>
      <c r="N14" s="9"/>
      <c r="O14" s="9"/>
      <c r="P14" s="9"/>
      <c r="Q14" s="9"/>
      <c r="R14" s="9"/>
      <c r="S14" s="9"/>
      <c r="T14" s="11">
        <f t="shared" si="0"/>
        <v>6983.86</v>
      </c>
      <c r="U14" s="14">
        <f>[1]库存!$F$1417</f>
        <v>4436</v>
      </c>
      <c r="V14" s="9">
        <f t="shared" si="1"/>
        <v>76223.69</v>
      </c>
      <c r="W14" s="14"/>
      <c r="XDT14" s="16"/>
      <c r="XDU14" s="16"/>
      <c r="XDV14" s="16"/>
      <c r="XDW14" s="16"/>
      <c r="XDX14" s="16"/>
      <c r="XDY14" s="16"/>
      <c r="XDZ14" s="16"/>
      <c r="XEA14" s="16"/>
      <c r="XEB14" s="16"/>
      <c r="XEC14" s="16"/>
    </row>
    <row r="15" s="3" customFormat="1" ht="27" customHeight="1" spans="1:16357">
      <c r="A15" s="8">
        <v>45728</v>
      </c>
      <c r="B15" s="9"/>
      <c r="C15" s="9"/>
      <c r="D15" s="9"/>
      <c r="E15" s="9"/>
      <c r="F15" s="9"/>
      <c r="G15" s="9"/>
      <c r="H15" s="9"/>
      <c r="I15" s="9">
        <v>1437.62</v>
      </c>
      <c r="J15" s="9">
        <v>2697.25</v>
      </c>
      <c r="K15" s="9"/>
      <c r="L15" s="9"/>
      <c r="M15" s="9"/>
      <c r="N15" s="9"/>
      <c r="O15" s="9"/>
      <c r="P15" s="9">
        <v>7835.64</v>
      </c>
      <c r="Q15" s="9"/>
      <c r="R15" s="9"/>
      <c r="S15" s="9"/>
      <c r="T15" s="11">
        <f t="shared" si="0"/>
        <v>11970.51</v>
      </c>
      <c r="U15" s="14">
        <f>[1]库存!$F$1418</f>
        <v>5544</v>
      </c>
      <c r="V15" s="9">
        <f t="shared" si="1"/>
        <v>82650.2</v>
      </c>
      <c r="W15" s="14"/>
      <c r="XDT15" s="16"/>
      <c r="XDU15" s="16"/>
      <c r="XDV15" s="16"/>
      <c r="XDW15" s="16"/>
      <c r="XDX15" s="16"/>
      <c r="XDY15" s="16"/>
      <c r="XDZ15" s="16"/>
      <c r="XEA15" s="16"/>
      <c r="XEB15" s="16"/>
      <c r="XEC15" s="16"/>
    </row>
    <row r="16" s="3" customFormat="1" ht="27" customHeight="1" spans="1:16357">
      <c r="A16" s="8">
        <v>45729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1">
        <f t="shared" si="0"/>
        <v>0</v>
      </c>
      <c r="U16" s="14">
        <v>5674</v>
      </c>
      <c r="V16" s="9">
        <f t="shared" si="1"/>
        <v>76976.2</v>
      </c>
      <c r="W16" s="14"/>
      <c r="XDT16" s="16"/>
      <c r="XDU16" s="16"/>
      <c r="XDV16" s="16"/>
      <c r="XDW16" s="16"/>
      <c r="XDX16" s="16"/>
      <c r="XDY16" s="16"/>
      <c r="XDZ16" s="16"/>
      <c r="XEA16" s="16"/>
      <c r="XEB16" s="16"/>
      <c r="XEC16" s="16"/>
    </row>
    <row r="17" s="3" customFormat="1" ht="27" customHeight="1" spans="1:16357">
      <c r="A17" s="8">
        <v>45730</v>
      </c>
      <c r="B17" s="9"/>
      <c r="C17" s="9"/>
      <c r="D17" s="9">
        <v>1266.98</v>
      </c>
      <c r="E17" s="9">
        <v>1134.12</v>
      </c>
      <c r="F17" s="9"/>
      <c r="G17" s="9"/>
      <c r="H17" s="9"/>
      <c r="I17" s="9">
        <v>1426.05</v>
      </c>
      <c r="J17" s="9"/>
      <c r="L17" s="9">
        <v>4237.08</v>
      </c>
      <c r="M17" s="9"/>
      <c r="N17" s="9"/>
      <c r="O17" s="9"/>
      <c r="P17" s="9"/>
      <c r="Q17" s="9"/>
      <c r="R17" s="9"/>
      <c r="S17" s="9"/>
      <c r="T17" s="11">
        <f t="shared" si="0"/>
        <v>8064.23</v>
      </c>
      <c r="U17" s="14">
        <f>[1]库存!$F$1420</f>
        <v>7426</v>
      </c>
      <c r="V17" s="9">
        <f t="shared" si="1"/>
        <v>77614.43</v>
      </c>
      <c r="W17" s="14"/>
      <c r="XDT17" s="16"/>
      <c r="XDU17" s="16"/>
      <c r="XDV17" s="16"/>
      <c r="XDW17" s="16"/>
      <c r="XDX17" s="16"/>
      <c r="XDY17" s="16"/>
      <c r="XDZ17" s="16"/>
      <c r="XEA17" s="16"/>
      <c r="XEB17" s="16"/>
      <c r="XEC17" s="16"/>
    </row>
    <row r="18" s="3" customFormat="1" ht="27" customHeight="1" spans="1:16357">
      <c r="A18" s="8">
        <v>45731</v>
      </c>
      <c r="B18" s="9"/>
      <c r="C18" s="9"/>
      <c r="D18" s="9">
        <v>1222.7</v>
      </c>
      <c r="E18" s="9">
        <v>293.68</v>
      </c>
      <c r="F18" s="9"/>
      <c r="G18" s="9"/>
      <c r="H18" s="9"/>
      <c r="I18" s="9"/>
      <c r="J18" s="9"/>
      <c r="K18" s="9"/>
      <c r="L18" s="9"/>
      <c r="M18" s="9"/>
      <c r="N18" s="9"/>
      <c r="O18" s="9">
        <v>3415.2</v>
      </c>
      <c r="P18" s="9"/>
      <c r="Q18" s="9"/>
      <c r="R18" s="9"/>
      <c r="S18" s="9"/>
      <c r="T18" s="11">
        <f t="shared" si="0"/>
        <v>4931.58</v>
      </c>
      <c r="U18" s="14">
        <v>3844</v>
      </c>
      <c r="V18" s="9">
        <f t="shared" si="1"/>
        <v>78702.01</v>
      </c>
      <c r="W18" s="14"/>
      <c r="XDT18" s="16"/>
      <c r="XDU18" s="16"/>
      <c r="XDV18" s="16"/>
      <c r="XDW18" s="16"/>
      <c r="XDX18" s="16"/>
      <c r="XDY18" s="16"/>
      <c r="XDZ18" s="16"/>
      <c r="XEA18" s="16"/>
      <c r="XEB18" s="16"/>
      <c r="XEC18" s="16"/>
    </row>
    <row r="19" s="3" customFormat="1" ht="27" customHeight="1" spans="1:16357">
      <c r="A19" s="8">
        <v>45732</v>
      </c>
      <c r="B19" s="9"/>
      <c r="C19" s="9"/>
      <c r="D19" s="9"/>
      <c r="E19" s="9"/>
      <c r="F19" s="9"/>
      <c r="G19" s="9"/>
      <c r="H19" s="9"/>
      <c r="I19" s="9">
        <v>1258.8</v>
      </c>
      <c r="J19" s="9"/>
      <c r="K19" s="9"/>
      <c r="L19" s="9"/>
      <c r="M19" s="9"/>
      <c r="N19" s="9"/>
      <c r="O19" s="9">
        <v>3611.36</v>
      </c>
      <c r="P19" s="9"/>
      <c r="Q19" s="9"/>
      <c r="R19" s="9"/>
      <c r="S19" s="9"/>
      <c r="T19" s="11">
        <f t="shared" si="0"/>
        <v>4870.16</v>
      </c>
      <c r="U19" s="14">
        <v>3505</v>
      </c>
      <c r="V19" s="9">
        <f t="shared" si="1"/>
        <v>80067.17</v>
      </c>
      <c r="W19" s="14"/>
      <c r="XDT19" s="16"/>
      <c r="XDU19" s="16"/>
      <c r="XDV19" s="16"/>
      <c r="XDW19" s="16"/>
      <c r="XDX19" s="16"/>
      <c r="XDY19" s="16"/>
      <c r="XDZ19" s="16"/>
      <c r="XEA19" s="16"/>
      <c r="XEB19" s="16"/>
      <c r="XEC19" s="16"/>
    </row>
    <row r="20" s="3" customFormat="1" ht="27" customHeight="1" spans="1:16357">
      <c r="A20" s="8">
        <v>45733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>
        <v>5810.98</v>
      </c>
      <c r="M20" s="9"/>
      <c r="N20" s="9"/>
      <c r="O20" s="9"/>
      <c r="P20" s="9"/>
      <c r="Q20" s="9"/>
      <c r="R20" s="9"/>
      <c r="S20" s="9"/>
      <c r="T20" s="11">
        <f t="shared" si="0"/>
        <v>5810.98</v>
      </c>
      <c r="U20" s="14">
        <v>3816</v>
      </c>
      <c r="V20" s="9">
        <f t="shared" si="1"/>
        <v>82062.15</v>
      </c>
      <c r="W20" s="14"/>
      <c r="XDT20" s="16"/>
      <c r="XDU20" s="16"/>
      <c r="XDV20" s="16"/>
      <c r="XDW20" s="16"/>
      <c r="XDX20" s="16"/>
      <c r="XDY20" s="16"/>
      <c r="XDZ20" s="16"/>
      <c r="XEA20" s="16"/>
      <c r="XEB20" s="16"/>
      <c r="XEC20" s="16"/>
    </row>
    <row r="21" s="3" customFormat="1" ht="27" customHeight="1" spans="1:16357">
      <c r="A21" s="8">
        <v>45734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1">
        <f t="shared" si="0"/>
        <v>0</v>
      </c>
      <c r="U21" s="14">
        <v>5026</v>
      </c>
      <c r="V21" s="9">
        <f t="shared" si="1"/>
        <v>77036.15</v>
      </c>
      <c r="W21" s="14"/>
      <c r="XDT21" s="16"/>
      <c r="XDU21" s="16"/>
      <c r="XDV21" s="16"/>
      <c r="XDW21" s="16"/>
      <c r="XDX21" s="16"/>
      <c r="XDY21" s="16"/>
      <c r="XDZ21" s="16"/>
      <c r="XEA21" s="16"/>
      <c r="XEB21" s="16"/>
      <c r="XEC21" s="16"/>
    </row>
    <row r="22" s="3" customFormat="1" ht="27" customHeight="1" spans="1:16357">
      <c r="A22" s="8">
        <v>45735</v>
      </c>
      <c r="B22" s="9"/>
      <c r="C22" s="9">
        <v>731.5</v>
      </c>
      <c r="D22" s="9"/>
      <c r="E22" s="9"/>
      <c r="F22" s="9"/>
      <c r="G22" s="9"/>
      <c r="H22" s="9"/>
      <c r="I22" s="9">
        <v>1232.16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11">
        <f t="shared" si="0"/>
        <v>1963.66</v>
      </c>
      <c r="U22" s="14">
        <v>5624</v>
      </c>
      <c r="V22" s="9">
        <f t="shared" si="1"/>
        <v>73375.81</v>
      </c>
      <c r="W22" s="14"/>
      <c r="XDT22" s="16"/>
      <c r="XDU22" s="16"/>
      <c r="XDV22" s="16"/>
      <c r="XDW22" s="16"/>
      <c r="XDX22" s="16"/>
      <c r="XDY22" s="16"/>
      <c r="XDZ22" s="16"/>
      <c r="XEA22" s="16"/>
      <c r="XEB22" s="16"/>
      <c r="XEC22" s="16"/>
    </row>
    <row r="23" s="3" customFormat="1" ht="27" customHeight="1" spans="1:16357">
      <c r="A23" s="8">
        <v>45736</v>
      </c>
      <c r="B23" s="9"/>
      <c r="C23" s="9">
        <v>182.48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1">
        <f t="shared" si="0"/>
        <v>182.48</v>
      </c>
      <c r="U23" s="14">
        <v>4339</v>
      </c>
      <c r="V23" s="9">
        <f t="shared" si="1"/>
        <v>69219.29</v>
      </c>
      <c r="W23" s="14"/>
      <c r="XDT23" s="16"/>
      <c r="XDU23" s="16"/>
      <c r="XDV23" s="16"/>
      <c r="XDW23" s="16"/>
      <c r="XDX23" s="16"/>
      <c r="XDY23" s="16"/>
      <c r="XDZ23" s="16"/>
      <c r="XEA23" s="16"/>
      <c r="XEB23" s="16"/>
      <c r="XEC23" s="16"/>
    </row>
    <row r="24" s="3" customFormat="1" ht="27" customHeight="1" spans="1:16357">
      <c r="A24" s="8">
        <v>45737</v>
      </c>
      <c r="B24" s="9"/>
      <c r="C24" s="9"/>
      <c r="D24" s="9"/>
      <c r="E24" s="9"/>
      <c r="F24" s="9"/>
      <c r="G24" s="9"/>
      <c r="H24" s="9"/>
      <c r="I24" s="9">
        <v>2120.34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11">
        <f t="shared" si="0"/>
        <v>2120.34</v>
      </c>
      <c r="U24" s="14">
        <v>2129</v>
      </c>
      <c r="V24" s="9">
        <f t="shared" si="1"/>
        <v>69210.63</v>
      </c>
      <c r="W24" s="14"/>
      <c r="XDT24" s="16"/>
      <c r="XDU24" s="16"/>
      <c r="XDV24" s="16"/>
      <c r="XDW24" s="16"/>
      <c r="XDX24" s="16"/>
      <c r="XDY24" s="16"/>
      <c r="XDZ24" s="16"/>
      <c r="XEA24" s="16"/>
      <c r="XEB24" s="16"/>
      <c r="XEC24" s="16"/>
    </row>
    <row r="25" s="3" customFormat="1" ht="27" customHeight="1" spans="1:16357">
      <c r="A25" s="8">
        <v>45738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1">
        <f t="shared" si="0"/>
        <v>0</v>
      </c>
      <c r="U25" s="14">
        <v>2773</v>
      </c>
      <c r="V25" s="9">
        <f t="shared" si="1"/>
        <v>66437.63</v>
      </c>
      <c r="W25" s="14"/>
      <c r="XDT25" s="16"/>
      <c r="XDU25" s="16"/>
      <c r="XDV25" s="16"/>
      <c r="XDW25" s="16"/>
      <c r="XDX25" s="16"/>
      <c r="XDY25" s="16"/>
      <c r="XDZ25" s="16"/>
      <c r="XEA25" s="16"/>
      <c r="XEB25" s="16"/>
      <c r="XEC25" s="16"/>
    </row>
    <row r="26" s="3" customFormat="1" ht="27" customHeight="1" spans="1:16357">
      <c r="A26" s="8">
        <v>45739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1">
        <f t="shared" si="0"/>
        <v>0</v>
      </c>
      <c r="U26" s="14">
        <v>2850</v>
      </c>
      <c r="V26" s="9">
        <f t="shared" si="1"/>
        <v>63587.63</v>
      </c>
      <c r="W26" s="14"/>
      <c r="XDT26" s="16"/>
      <c r="XDU26" s="16"/>
      <c r="XDV26" s="16"/>
      <c r="XDW26" s="16"/>
      <c r="XDX26" s="16"/>
      <c r="XDY26" s="16"/>
      <c r="XDZ26" s="16"/>
      <c r="XEA26" s="16"/>
      <c r="XEB26" s="16"/>
      <c r="XEC26" s="16"/>
    </row>
    <row r="27" s="3" customFormat="1" ht="27" customHeight="1" spans="1:16357">
      <c r="A27" s="8">
        <v>45740</v>
      </c>
      <c r="B27" s="9"/>
      <c r="C27" s="9"/>
      <c r="D27" s="9"/>
      <c r="E27" s="9"/>
      <c r="F27" s="9"/>
      <c r="G27" s="9"/>
      <c r="H27" s="9"/>
      <c r="I27" s="9">
        <v>1951.94</v>
      </c>
      <c r="J27" s="9"/>
      <c r="K27" s="9"/>
      <c r="L27" s="9"/>
      <c r="M27" s="9"/>
      <c r="N27" s="9"/>
      <c r="O27" s="9"/>
      <c r="P27" s="9">
        <v>5712.06</v>
      </c>
      <c r="Q27" s="9"/>
      <c r="R27" s="9"/>
      <c r="S27" s="9"/>
      <c r="T27" s="11">
        <f t="shared" si="0"/>
        <v>7664</v>
      </c>
      <c r="U27" s="14">
        <v>2658</v>
      </c>
      <c r="V27" s="9">
        <f t="shared" si="1"/>
        <v>68593.63</v>
      </c>
      <c r="W27" s="14"/>
      <c r="XDT27" s="16"/>
      <c r="XDU27" s="16"/>
      <c r="XDV27" s="16"/>
      <c r="XDW27" s="16"/>
      <c r="XDX27" s="16"/>
      <c r="XDY27" s="16"/>
      <c r="XDZ27" s="16"/>
      <c r="XEA27" s="16"/>
      <c r="XEB27" s="16"/>
      <c r="XEC27" s="16"/>
    </row>
    <row r="28" s="3" customFormat="1" ht="27" customHeight="1" spans="1:16357">
      <c r="A28" s="8">
        <v>45741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P28" s="9"/>
      <c r="Q28" s="9">
        <v>7437.58</v>
      </c>
      <c r="R28" s="9"/>
      <c r="S28" s="9"/>
      <c r="T28" s="11">
        <f t="shared" si="0"/>
        <v>7437.58</v>
      </c>
      <c r="U28" s="14">
        <v>2750</v>
      </c>
      <c r="V28" s="9">
        <f t="shared" si="1"/>
        <v>73281.21</v>
      </c>
      <c r="W28" s="14"/>
      <c r="XDT28" s="16"/>
      <c r="XDU28" s="16"/>
      <c r="XDV28" s="16"/>
      <c r="XDW28" s="16"/>
      <c r="XDX28" s="16"/>
      <c r="XDY28" s="16"/>
      <c r="XDZ28" s="16"/>
      <c r="XEA28" s="16"/>
      <c r="XEB28" s="16"/>
      <c r="XEC28" s="16"/>
    </row>
    <row r="29" s="3" customFormat="1" ht="27" customHeight="1" spans="1:16357">
      <c r="A29" s="8">
        <v>45742</v>
      </c>
      <c r="B29" s="9"/>
      <c r="C29" s="9">
        <v>274.38</v>
      </c>
      <c r="D29" s="9"/>
      <c r="E29" s="9"/>
      <c r="F29" s="9"/>
      <c r="G29" s="9"/>
      <c r="H29" s="9"/>
      <c r="I29" s="9">
        <v>1096.88</v>
      </c>
      <c r="J29" s="9"/>
      <c r="K29" s="9"/>
      <c r="L29" s="9"/>
      <c r="M29" s="9"/>
      <c r="N29" s="9"/>
      <c r="O29" s="9"/>
      <c r="P29" s="9"/>
      <c r="Q29" s="9">
        <v>4324.16</v>
      </c>
      <c r="R29" s="9"/>
      <c r="S29" s="9"/>
      <c r="T29" s="11">
        <f t="shared" si="0"/>
        <v>5695.42</v>
      </c>
      <c r="U29" s="14">
        <v>2600</v>
      </c>
      <c r="V29" s="9">
        <f t="shared" si="1"/>
        <v>76376.63</v>
      </c>
      <c r="W29" s="14"/>
      <c r="XDT29" s="16"/>
      <c r="XDU29" s="16"/>
      <c r="XDV29" s="16"/>
      <c r="XDW29" s="16"/>
      <c r="XDX29" s="16"/>
      <c r="XDY29" s="16"/>
      <c r="XDZ29" s="16"/>
      <c r="XEA29" s="16"/>
      <c r="XEB29" s="16"/>
      <c r="XEC29" s="16"/>
    </row>
    <row r="30" s="3" customFormat="1" ht="27" customHeight="1" spans="1:16357">
      <c r="A30" s="8">
        <v>45743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>
        <v>7128.02</v>
      </c>
      <c r="P30" s="9"/>
      <c r="Q30" s="9"/>
      <c r="R30" s="9"/>
      <c r="S30" s="9"/>
      <c r="T30" s="11">
        <f t="shared" si="0"/>
        <v>7128.02</v>
      </c>
      <c r="U30" s="14">
        <v>2455</v>
      </c>
      <c r="V30" s="9">
        <f t="shared" si="1"/>
        <v>81049.65</v>
      </c>
      <c r="W30" s="14"/>
      <c r="XDT30" s="16"/>
      <c r="XDU30" s="16"/>
      <c r="XDV30" s="16"/>
      <c r="XDW30" s="16"/>
      <c r="XDX30" s="16"/>
      <c r="XDY30" s="16"/>
      <c r="XDZ30" s="16"/>
      <c r="XEA30" s="16"/>
      <c r="XEB30" s="16"/>
      <c r="XEC30" s="16"/>
    </row>
    <row r="31" s="3" customFormat="1" ht="27" customHeight="1" spans="1:16357">
      <c r="A31" s="8">
        <v>45744</v>
      </c>
      <c r="B31" s="9"/>
      <c r="C31" s="9"/>
      <c r="D31" s="9"/>
      <c r="E31" s="9"/>
      <c r="F31" s="9"/>
      <c r="G31" s="9"/>
      <c r="H31" s="9"/>
      <c r="I31" s="9">
        <v>1817.2</v>
      </c>
      <c r="J31" s="9"/>
      <c r="K31" s="9"/>
      <c r="L31" s="9"/>
      <c r="M31" s="9"/>
      <c r="N31" s="9"/>
      <c r="O31" s="9">
        <v>3578.62</v>
      </c>
      <c r="P31" s="9"/>
      <c r="Q31" s="9"/>
      <c r="R31" s="9"/>
      <c r="S31" s="9"/>
      <c r="T31" s="11">
        <f t="shared" si="0"/>
        <v>5395.82</v>
      </c>
      <c r="U31" s="14">
        <v>3139</v>
      </c>
      <c r="V31" s="9">
        <f t="shared" si="1"/>
        <v>83306.47</v>
      </c>
      <c r="W31" s="14"/>
      <c r="XDT31" s="16"/>
      <c r="XDU31" s="16"/>
      <c r="XDV31" s="16"/>
      <c r="XDW31" s="16"/>
      <c r="XDX31" s="16"/>
      <c r="XDY31" s="16"/>
      <c r="XDZ31" s="16"/>
      <c r="XEA31" s="16"/>
      <c r="XEB31" s="16"/>
      <c r="XEC31" s="16"/>
    </row>
    <row r="32" s="3" customFormat="1" ht="27" customHeight="1" spans="1:16357">
      <c r="A32" s="8">
        <v>45745</v>
      </c>
      <c r="B32" s="9"/>
      <c r="C32" s="9"/>
      <c r="D32" s="9">
        <v>1746.12</v>
      </c>
      <c r="E32" s="9"/>
      <c r="F32" s="9">
        <v>926.02</v>
      </c>
      <c r="G32" s="9"/>
      <c r="H32" s="9"/>
      <c r="I32" s="9"/>
      <c r="J32" s="9"/>
      <c r="K32" s="9"/>
      <c r="L32" s="9"/>
      <c r="M32" s="9"/>
      <c r="N32" s="9">
        <v>3522.5</v>
      </c>
      <c r="O32" s="9"/>
      <c r="P32" s="9"/>
      <c r="Q32" s="9"/>
      <c r="R32" s="9"/>
      <c r="S32" s="9"/>
      <c r="T32" s="11">
        <f t="shared" si="0"/>
        <v>6194.64</v>
      </c>
      <c r="U32" s="14">
        <v>4517</v>
      </c>
      <c r="V32" s="9">
        <f t="shared" si="1"/>
        <v>84984.11</v>
      </c>
      <c r="W32" s="14"/>
      <c r="XDT32" s="16"/>
      <c r="XDU32" s="16"/>
      <c r="XDV32" s="16"/>
      <c r="XDW32" s="16"/>
      <c r="XDX32" s="16"/>
      <c r="XDY32" s="16"/>
      <c r="XDZ32" s="16"/>
      <c r="XEA32" s="16"/>
      <c r="XEB32" s="16"/>
      <c r="XEC32" s="16"/>
    </row>
    <row r="33" s="3" customFormat="1" ht="27" customHeight="1" spans="1:16357">
      <c r="A33" s="8">
        <v>45746</v>
      </c>
      <c r="B33" s="9"/>
      <c r="C33" s="9"/>
      <c r="D33" s="9">
        <v>1899.9</v>
      </c>
      <c r="E33" s="9"/>
      <c r="F33" s="9">
        <v>1498.84</v>
      </c>
      <c r="G33" s="9"/>
      <c r="H33" s="9"/>
      <c r="I33" s="9"/>
      <c r="J33" s="9"/>
      <c r="K33" s="9"/>
      <c r="L33" s="9"/>
      <c r="M33" s="9"/>
      <c r="N33" s="9">
        <v>7135.1</v>
      </c>
      <c r="O33" s="9"/>
      <c r="P33" s="9"/>
      <c r="Q33" s="9"/>
      <c r="R33" s="9"/>
      <c r="S33" s="9"/>
      <c r="T33" s="11">
        <f t="shared" si="0"/>
        <v>10533.84</v>
      </c>
      <c r="U33" s="14">
        <v>6382</v>
      </c>
      <c r="V33" s="9">
        <f t="shared" si="1"/>
        <v>89135.95</v>
      </c>
      <c r="W33" s="14"/>
      <c r="XDT33" s="16"/>
      <c r="XDU33" s="16"/>
      <c r="XDV33" s="16"/>
      <c r="XDW33" s="16"/>
      <c r="XDX33" s="16"/>
      <c r="XDY33" s="16"/>
      <c r="XDZ33" s="16"/>
      <c r="XEA33" s="16"/>
      <c r="XEB33" s="16"/>
      <c r="XEC33" s="16"/>
    </row>
    <row r="34" s="3" customFormat="1" ht="27" customHeight="1" spans="1:16357">
      <c r="A34" s="8">
        <v>45747</v>
      </c>
      <c r="B34" s="9"/>
      <c r="C34" s="9"/>
      <c r="D34" s="9">
        <v>1308.68</v>
      </c>
      <c r="E34" s="9"/>
      <c r="F34" s="9">
        <v>552.48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>
        <v>4427</v>
      </c>
      <c r="R34" s="9"/>
      <c r="S34" s="9"/>
      <c r="T34" s="11">
        <f t="shared" si="0"/>
        <v>6288.16</v>
      </c>
      <c r="U34" s="14">
        <v>6389</v>
      </c>
      <c r="V34" s="9">
        <f t="shared" si="1"/>
        <v>89035.11</v>
      </c>
      <c r="W34" s="14"/>
      <c r="XDT34" s="16"/>
      <c r="XDU34" s="16"/>
      <c r="XDV34" s="16"/>
      <c r="XDW34" s="16"/>
      <c r="XDX34" s="16"/>
      <c r="XDY34" s="16"/>
      <c r="XDZ34" s="16"/>
      <c r="XEA34" s="16"/>
      <c r="XEB34" s="16"/>
      <c r="XEC34" s="16"/>
    </row>
    <row r="35" s="3" customFormat="1" ht="27" customHeight="1" spans="1:16357">
      <c r="A35" s="10" t="s">
        <v>31</v>
      </c>
      <c r="B35" s="10">
        <f>SUM(B4:B34)</f>
        <v>0</v>
      </c>
      <c r="C35" s="10">
        <f>SUM(C4:C34)</f>
        <v>1188.36</v>
      </c>
      <c r="D35" s="10">
        <f>SUM(D4:D34)</f>
        <v>7444.38</v>
      </c>
      <c r="E35" s="10">
        <f>SUM(E4:E34)</f>
        <v>1427.8</v>
      </c>
      <c r="F35" s="10">
        <f>SUM(F4:F34)</f>
        <v>2977.34</v>
      </c>
      <c r="G35" s="10">
        <f t="shared" ref="G35:U35" si="2">SUM(G4:G34)</f>
        <v>9552.2</v>
      </c>
      <c r="H35" s="10">
        <f t="shared" si="2"/>
        <v>0</v>
      </c>
      <c r="I35" s="10">
        <f t="shared" si="2"/>
        <v>12340.99</v>
      </c>
      <c r="J35" s="10">
        <f t="shared" si="2"/>
        <v>12370.01</v>
      </c>
      <c r="K35" s="10">
        <f t="shared" si="2"/>
        <v>10924.8</v>
      </c>
      <c r="L35" s="10">
        <f t="shared" si="2"/>
        <v>10048.06</v>
      </c>
      <c r="M35" s="10">
        <f t="shared" si="2"/>
        <v>3553.6</v>
      </c>
      <c r="N35" s="10">
        <f t="shared" si="2"/>
        <v>10657.6</v>
      </c>
      <c r="O35" s="10">
        <f t="shared" si="2"/>
        <v>17733.2</v>
      </c>
      <c r="P35" s="10">
        <f t="shared" si="2"/>
        <v>52327.11</v>
      </c>
      <c r="Q35" s="10">
        <f t="shared" si="2"/>
        <v>16188.74</v>
      </c>
      <c r="R35" s="10">
        <f t="shared" si="2"/>
        <v>0</v>
      </c>
      <c r="S35" s="10">
        <f t="shared" si="2"/>
        <v>0</v>
      </c>
      <c r="T35" s="10">
        <f t="shared" si="2"/>
        <v>168734.19</v>
      </c>
      <c r="U35" s="10">
        <f t="shared" si="2"/>
        <v>150139</v>
      </c>
      <c r="V35" s="10"/>
      <c r="W35" s="14"/>
      <c r="XDT35" s="16"/>
      <c r="XDU35" s="16"/>
      <c r="XDV35" s="16"/>
      <c r="XDW35" s="16"/>
      <c r="XDX35" s="16"/>
      <c r="XDY35" s="16"/>
      <c r="XDZ35" s="16"/>
      <c r="XEA35" s="16"/>
      <c r="XEB35" s="16"/>
      <c r="XEC35" s="16"/>
    </row>
    <row r="36" s="4" customFormat="1" spans="16375:16377">
      <c r="XEU36" s="5"/>
      <c r="XEV36" s="5"/>
      <c r="XEW36" s="5"/>
    </row>
  </sheetData>
  <mergeCells count="8">
    <mergeCell ref="A1:W1"/>
    <mergeCell ref="B2:G2"/>
    <mergeCell ref="I2:M2"/>
    <mergeCell ref="P2:Q2"/>
    <mergeCell ref="R2:S2"/>
    <mergeCell ref="A2:A3"/>
    <mergeCell ref="T2:T3"/>
    <mergeCell ref="U2:U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NetdiskSupbooks xmlns="http://www.wps.cn/et/2019/netdiskSupbooks">
  <NetdiskSupbook Target="库存及总表.xlsx" FileId="317684154761" NetdiskName="yunwps"/>
</NetdiskSupbooks>
</file>

<file path=customXml/itemProps1.xml><?xml version="1.0" encoding="utf-8"?>
<ds:datastoreItem xmlns:ds="http://schemas.openxmlformats.org/officeDocument/2006/customXml" ds:itemID="{8CA11897-456E-43AF-AC28-93E1BBEC0A59}">
  <ds:schemaRefs>
    <ds:schemaRef ds:uri="http://www.wps.cn/et/2019/netdiskSupbook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梁晶</cp:lastModifiedBy>
  <dcterms:created xsi:type="dcterms:W3CDTF">2022-08-01T22:45:00Z</dcterms:created>
  <dcterms:modified xsi:type="dcterms:W3CDTF">2025-04-01T00:32:38Z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2052-12.1.0.19768</vt:lpwstr>
  </property>
  <property fmtid="{D5CDD505-2E9C-101B-9397-08002B2CF9AE}" pid="4" name="KSOReadingLayout">
    <vt:bool>true</vt:bool>
  </property>
</Properties>
</file>