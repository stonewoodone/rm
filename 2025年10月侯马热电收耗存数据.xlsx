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55" tabRatio="672"/>
  </bookViews>
  <sheets>
    <sheet name="2025.10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<sst xmlns="http://schemas.openxmlformats.org/spreadsheetml/2006/main" count="28" uniqueCount="28">
  <si>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2025年10月侯马热电收耗存数据</t>
  </si>
  <si>
    <t>日期</t>
  </si>
  <si>
    <t>焦煤</t>
  </si>
  <si>
    <t>地方</t>
  </si>
  <si>
    <t>太原煤气化</t>
  </si>
  <si>
    <t>煤业集团</t>
  </si>
  <si>
    <t>轩岗煤电</t>
  </si>
  <si>
    <t>朔州公司</t>
  </si>
  <si>
    <t>合计来煤
（吨）</t>
  </si>
  <si>
    <t>皮带秤消耗（吨）</t>
  </si>
  <si>
    <t>库存（吨）</t>
  </si>
  <si>
    <t>备注</t>
  </si>
  <si>
    <t>杜家沟(G)
10-1</t>
  </si>
  <si>
    <t>雪坪(G)
10-1</t>
  </si>
  <si>
    <t>昊兴塬(G)
10-1</t>
  </si>
  <si>
    <t>三交河G)
9-1</t>
  </si>
  <si>
    <t>三交河G)
10-1</t>
  </si>
  <si>
    <t>富康源(G)
10-1</t>
  </si>
  <si>
    <t>炉峪口（T）</t>
  </si>
  <si>
    <t>龙泉（T）
8-1</t>
  </si>
  <si>
    <t>北辛窑（T）7-1</t>
  </si>
  <si>
    <t>北辛窑（T）9-1</t>
  </si>
  <si>
    <t>北辛窑（T）10-1</t>
  </si>
  <si>
    <t>梨园河（T）</t>
  </si>
  <si>
    <t>莲盛（T）
9-1</t>
  </si>
  <si>
    <t>莲盛（T）
10-1</t>
  </si>
  <si>
    <t>石碣峪（T）
9-1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</si>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</sst>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6"/>
      <name val="Microsoft YaHei"/>
      <charset val="134"/>
    </font>
    <font>
      <b/>
      <sz val="11"/>
      <name val="Microsoft YaHei"/>
      <charset val="134"/>
    </font>
    <font>
      <sz val="11"/>
      <color indexed="8"/>
      <name val="宋体"/>
      <charset val="134"/>
    </font>
    <font>
      <b/>
      <sz val="11"/>
      <color rgb="FF000000"/>
      <name val="Microsoft YaHei"/>
      <charset val="134"/>
    </font>
    <font>
      <sz val="10"/>
      <color indexed="8"/>
      <name val="Microsoft YaHei"/>
      <charset val="134"/>
    </font>
    <font>
      <sz val="10"/>
      <name val="Microsoft YaHei"/>
      <charset val="134"/>
    </font>
    <font>
      <sz val="10"/>
      <color indexed="8"/>
      <name val="宋体"/>
      <charset val="134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77" fontId="11" fillId="0" borderId="1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DX35"/>
  <sheetViews>
    <sheetView tabSelected="1" zoomScale="90" zoomScaleNormal="90" workbookViewId="0">
      <pane ySplit="3" topLeftCell="A7" activePane="bottomLeft" state="frozen"/>
      <selection/>
      <selection pane="bottomLeft" activeCell="W39" sqref="W39"/>
    </sheetView>
  </sheetViews>
  <sheetFormatPr defaultColWidth="9.64166666666667" defaultRowHeight="13.5"/>
  <cols>
    <col min="1" max="1" width="12.7666666666667" style="4" customWidth="1"/>
    <col min="2" max="6" width="12.775" style="4" customWidth="1"/>
    <col min="7" max="7" width="12.5" style="4" customWidth="1"/>
    <col min="8" max="8" width="12.775" style="4" hidden="1" customWidth="1"/>
    <col min="9" max="9" width="12.775" style="4" customWidth="1"/>
    <col min="10" max="12" width="12.775" style="5" customWidth="1"/>
    <col min="13" max="13" width="12.775" style="4" hidden="1" customWidth="1"/>
    <col min="14" max="16" width="12.775" style="4" customWidth="1"/>
    <col min="17" max="17" width="13.45" style="4" customWidth="1"/>
    <col min="18" max="18" width="12.8583333333333" style="4" customWidth="1"/>
    <col min="19" max="19" width="14.8333333333333" style="4" customWidth="1"/>
    <col min="20" max="20" width="8.95" style="4" customWidth="1"/>
    <col min="21" max="21" width="11.6333333333333" style="4"/>
    <col min="22" max="16342" width="8.95" style="4"/>
    <col min="16343" max="16351" width="9.7" style="4"/>
    <col min="16352" max="16369" width="9.675" style="4"/>
    <col min="16370" max="16380" width="9.65" style="6"/>
    <col min="16381" max="16384" width="9.64166666666667" style="6"/>
  </cols>
  <sheetData>
    <row r="1" s="1" customFormat="1" ht="34" customHeight="1" spans="1:20 16343:1635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="2" customFormat="1" ht="30" customHeight="1" spans="1:20 16343:16352">
      <c r="A2" s="8" t="s">
        <v>1</v>
      </c>
      <c r="B2" s="8" t="s">
        <v>2</v>
      </c>
      <c r="C2" s="8"/>
      <c r="D2" s="8"/>
      <c r="E2" s="8"/>
      <c r="F2" s="8"/>
      <c r="G2" s="8" t="s">
        <v>3</v>
      </c>
      <c r="H2" s="8" t="s">
        <v>4</v>
      </c>
      <c r="I2" s="8"/>
      <c r="J2" s="8" t="s">
        <v>5</v>
      </c>
      <c r="K2" s="8"/>
      <c r="L2" s="8"/>
      <c r="M2" s="8" t="s">
        <v>6</v>
      </c>
      <c r="N2" s="8" t="s">
        <v>7</v>
      </c>
      <c r="O2" s="8"/>
      <c r="P2" s="8"/>
      <c r="Q2" s="8" t="s">
        <v>8</v>
      </c>
      <c r="R2" s="8" t="s">
        <v>9</v>
      </c>
      <c r="S2" s="9" t="s">
        <v>10</v>
      </c>
      <c r="T2" s="9" t="s">
        <v>11</v>
      </c>
      <c r="XDO2" s="10"/>
      <c r="XDP2" s="10"/>
      <c r="XDQ2" s="10"/>
      <c r="XDR2" s="10"/>
      <c r="XDS2" s="10"/>
      <c r="XDT2" s="10"/>
      <c r="XDU2" s="10"/>
      <c r="XDV2" s="10"/>
      <c r="XDW2" s="10"/>
      <c r="XDX2" s="10"/>
    </row>
    <row r="3" s="2" customFormat="1" ht="39" customHeight="1" spans="1:20 16343:16352">
      <c r="A3" s="8"/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18</v>
      </c>
      <c r="I3" s="8" t="s">
        <v>19</v>
      </c>
      <c r="J3" s="8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 t="s">
        <v>25</v>
      </c>
      <c r="P3" s="8" t="s">
        <v>26</v>
      </c>
      <c r="Q3" s="8"/>
      <c r="R3" s="8"/>
      <c r="S3" s="11">
        <v>114736.836</v>
      </c>
      <c r="T3" s="9"/>
      <c r="XDO3" s="10"/>
      <c r="XDP3" s="10"/>
      <c r="XDQ3" s="10"/>
      <c r="XDR3" s="10"/>
      <c r="XDS3" s="10"/>
      <c r="XDT3" s="10"/>
      <c r="XDU3" s="10"/>
      <c r="XDV3" s="10"/>
      <c r="XDW3" s="10"/>
      <c r="XDX3" s="10"/>
    </row>
    <row r="4" s="3" customFormat="1" ht="27" customHeight="1" spans="1:20 16343:16352">
      <c r="A4" s="12">
        <v>45931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>
        <f t="shared" ref="Q4:Q34" si="0">SUM(B4:P4)</f>
        <v>0</v>
      </c>
      <c r="R4" s="14">
        <v>1459</v>
      </c>
      <c r="S4" s="15">
        <f t="shared" ref="S4:S34" si="1">S3+Q4-R4</f>
        <v>113277.836</v>
      </c>
      <c r="T4" s="14"/>
      <c r="XDO4" s="16"/>
      <c r="XDP4" s="16"/>
      <c r="XDQ4" s="16"/>
      <c r="XDR4" s="16"/>
      <c r="XDS4" s="16"/>
      <c r="XDT4" s="16"/>
      <c r="XDU4" s="16"/>
      <c r="XDV4" s="16"/>
      <c r="XDW4" s="16"/>
      <c r="XDX4" s="16"/>
    </row>
    <row r="5" s="3" customFormat="1" ht="27" customHeight="1" spans="1:20 16343:16352">
      <c r="A5" s="12">
        <v>45932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>
        <f t="shared" si="0"/>
        <v>0</v>
      </c>
      <c r="R5" s="14">
        <v>4330.75</v>
      </c>
      <c r="S5" s="15">
        <f t="shared" si="1"/>
        <v>108947.086</v>
      </c>
      <c r="T5" s="14"/>
      <c r="XDO5" s="16"/>
      <c r="XDP5" s="16"/>
      <c r="XDQ5" s="16"/>
      <c r="XDR5" s="16"/>
      <c r="XDS5" s="16"/>
      <c r="XDT5" s="16"/>
      <c r="XDU5" s="16"/>
      <c r="XDV5" s="16"/>
      <c r="XDW5" s="16"/>
      <c r="XDX5" s="16"/>
    </row>
    <row r="6" s="3" customFormat="1" ht="27" customHeight="1" spans="1:20 16343:16352">
      <c r="A6" s="12">
        <v>45933</v>
      </c>
      <c r="B6" s="13"/>
      <c r="C6" s="13"/>
      <c r="D6" s="13"/>
      <c r="E6" s="13"/>
      <c r="F6" s="13"/>
      <c r="G6" s="13">
        <v>3270.06</v>
      </c>
      <c r="H6" s="13"/>
      <c r="I6" s="13"/>
      <c r="J6" s="13"/>
      <c r="K6" s="13"/>
      <c r="L6" s="13"/>
      <c r="M6" s="13"/>
      <c r="N6" s="13"/>
      <c r="O6" s="13"/>
      <c r="P6" s="13"/>
      <c r="Q6" s="13">
        <f t="shared" si="0"/>
        <v>3270.06</v>
      </c>
      <c r="R6" s="14">
        <v>2980</v>
      </c>
      <c r="S6" s="15">
        <f t="shared" si="1"/>
        <v>109237.146</v>
      </c>
      <c r="T6" s="14"/>
      <c r="XDO6" s="16"/>
      <c r="XDP6" s="16"/>
      <c r="XDQ6" s="16"/>
      <c r="XDR6" s="16"/>
      <c r="XDS6" s="16"/>
      <c r="XDT6" s="16"/>
      <c r="XDU6" s="16"/>
      <c r="XDV6" s="16"/>
      <c r="XDW6" s="16"/>
      <c r="XDX6" s="16"/>
    </row>
    <row r="7" s="3" customFormat="1" ht="27" customHeight="1" spans="1:20 16343:16352">
      <c r="A7" s="12">
        <v>45934</v>
      </c>
      <c r="B7" s="13"/>
      <c r="C7" s="13"/>
      <c r="D7" s="13">
        <v>306.96</v>
      </c>
      <c r="E7" s="13"/>
      <c r="F7" s="13"/>
      <c r="G7" s="13">
        <v>3399.42</v>
      </c>
      <c r="H7" s="13"/>
      <c r="I7" s="13"/>
      <c r="J7" s="13">
        <v>4793.96</v>
      </c>
      <c r="K7" s="13"/>
      <c r="L7" s="13"/>
      <c r="M7" s="13"/>
      <c r="N7" s="13"/>
      <c r="O7" s="13"/>
      <c r="P7" s="13"/>
      <c r="Q7" s="13">
        <f t="shared" si="0"/>
        <v>8500.34</v>
      </c>
      <c r="R7" s="14">
        <v>5660</v>
      </c>
      <c r="S7" s="15">
        <f t="shared" si="1"/>
        <v>112077.486</v>
      </c>
      <c r="T7" s="14"/>
      <c r="XDO7" s="16"/>
      <c r="XDP7" s="16"/>
      <c r="XDQ7" s="16"/>
      <c r="XDR7" s="16"/>
      <c r="XDS7" s="16"/>
      <c r="XDT7" s="16"/>
      <c r="XDU7" s="16"/>
      <c r="XDV7" s="16"/>
      <c r="XDW7" s="16"/>
      <c r="XDX7" s="16"/>
    </row>
    <row r="8" s="3" customFormat="1" ht="27" customHeight="1" spans="1:20 16343:16352">
      <c r="A8" s="12">
        <v>45935</v>
      </c>
      <c r="B8" s="13"/>
      <c r="C8" s="13">
        <v>1211.44</v>
      </c>
      <c r="D8" s="13"/>
      <c r="E8" s="13"/>
      <c r="F8" s="13"/>
      <c r="G8" s="13">
        <v>3513</v>
      </c>
      <c r="H8" s="13"/>
      <c r="I8" s="13"/>
      <c r="J8" s="13"/>
      <c r="K8" s="13"/>
      <c r="L8" s="13"/>
      <c r="M8" s="13"/>
      <c r="N8" s="13"/>
      <c r="O8" s="13"/>
      <c r="P8" s="13">
        <v>3539.67</v>
      </c>
      <c r="Q8" s="13">
        <f t="shared" si="0"/>
        <v>8264.11</v>
      </c>
      <c r="R8" s="14">
        <v>8400</v>
      </c>
      <c r="S8" s="15">
        <f t="shared" si="1"/>
        <v>111941.596</v>
      </c>
      <c r="T8" s="14"/>
      <c r="XDO8" s="16"/>
      <c r="XDP8" s="16"/>
      <c r="XDQ8" s="16"/>
      <c r="XDR8" s="16"/>
      <c r="XDS8" s="16"/>
      <c r="XDT8" s="16"/>
      <c r="XDU8" s="16"/>
      <c r="XDV8" s="16"/>
      <c r="XDW8" s="16"/>
      <c r="XDX8" s="16"/>
    </row>
    <row r="9" s="3" customFormat="1" ht="27" customHeight="1" spans="1:20 16343:16352">
      <c r="A9" s="12">
        <v>45936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>
        <f t="shared" si="0"/>
        <v>0</v>
      </c>
      <c r="R9" s="14">
        <v>6840</v>
      </c>
      <c r="S9" s="15">
        <f t="shared" si="1"/>
        <v>105101.596</v>
      </c>
      <c r="T9" s="14"/>
      <c r="XDO9" s="16"/>
      <c r="XDP9" s="16"/>
      <c r="XDQ9" s="16"/>
      <c r="XDR9" s="16"/>
      <c r="XDS9" s="16"/>
      <c r="XDT9" s="16"/>
      <c r="XDU9" s="16"/>
      <c r="XDV9" s="16"/>
      <c r="XDW9" s="16"/>
      <c r="XDX9" s="16"/>
    </row>
    <row r="10" s="3" customFormat="1" ht="27" customHeight="1" spans="1:20 16343:16352">
      <c r="A10" s="12">
        <v>45937</v>
      </c>
      <c r="B10" s="13"/>
      <c r="C10" s="13"/>
      <c r="D10" s="13"/>
      <c r="E10" s="13"/>
      <c r="F10" s="13"/>
      <c r="G10" s="13">
        <v>4337.78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f t="shared" si="0"/>
        <v>4337.78</v>
      </c>
      <c r="R10" s="14">
        <v>5750</v>
      </c>
      <c r="S10" s="15">
        <f t="shared" si="1"/>
        <v>103689.376</v>
      </c>
      <c r="T10" s="14"/>
      <c r="XDO10" s="16"/>
      <c r="XDP10" s="16"/>
      <c r="XDQ10" s="16"/>
      <c r="XDR10" s="16"/>
      <c r="XDS10" s="16"/>
      <c r="XDT10" s="16"/>
      <c r="XDU10" s="16"/>
      <c r="XDV10" s="16"/>
      <c r="XDW10" s="16"/>
      <c r="XDX10" s="16"/>
    </row>
    <row r="11" s="3" customFormat="1" ht="27" customHeight="1" spans="1:20 16343:16352">
      <c r="A11" s="12">
        <v>45938</v>
      </c>
      <c r="B11" s="13"/>
      <c r="C11" s="13"/>
      <c r="D11" s="13"/>
      <c r="E11" s="13"/>
      <c r="F11" s="13"/>
      <c r="G11" s="13">
        <v>3597.96</v>
      </c>
      <c r="H11" s="13"/>
      <c r="I11" s="13">
        <v>2269.8</v>
      </c>
      <c r="J11" s="13"/>
      <c r="K11" s="13"/>
      <c r="L11" s="13"/>
      <c r="M11" s="13"/>
      <c r="N11" s="13"/>
      <c r="O11" s="13"/>
      <c r="P11" s="13"/>
      <c r="Q11" s="13">
        <f t="shared" si="0"/>
        <v>5867.76</v>
      </c>
      <c r="R11" s="14">
        <v>4580</v>
      </c>
      <c r="S11" s="15">
        <f t="shared" si="1"/>
        <v>104977.136</v>
      </c>
      <c r="T11" s="14"/>
      <c r="XDO11" s="16"/>
      <c r="XDP11" s="16"/>
      <c r="XDQ11" s="16"/>
      <c r="XDR11" s="16"/>
      <c r="XDS11" s="16"/>
      <c r="XDT11" s="16"/>
      <c r="XDU11" s="16"/>
      <c r="XDV11" s="16"/>
      <c r="XDW11" s="16"/>
      <c r="XDX11" s="16"/>
    </row>
    <row r="12" s="3" customFormat="1" ht="27" customHeight="1" spans="1:20 16343:16352">
      <c r="A12" s="12">
        <v>45939</v>
      </c>
      <c r="B12" s="13"/>
      <c r="C12" s="13"/>
      <c r="D12" s="13"/>
      <c r="E12" s="13"/>
      <c r="F12" s="13"/>
      <c r="G12" s="13">
        <v>3900.32</v>
      </c>
      <c r="H12" s="13"/>
      <c r="I12" s="13"/>
      <c r="J12" s="13"/>
      <c r="K12" s="13"/>
      <c r="L12" s="13"/>
      <c r="M12" s="13"/>
      <c r="N12" s="13"/>
      <c r="O12" s="13">
        <v>5899.24</v>
      </c>
      <c r="P12" s="13"/>
      <c r="Q12" s="13">
        <f t="shared" si="0"/>
        <v>9799.56</v>
      </c>
      <c r="R12" s="14">
        <v>5910</v>
      </c>
      <c r="S12" s="15">
        <f t="shared" si="1"/>
        <v>108866.696</v>
      </c>
      <c r="T12" s="14"/>
      <c r="XDO12" s="16"/>
      <c r="XDP12" s="16"/>
      <c r="XDQ12" s="16"/>
      <c r="XDR12" s="16"/>
      <c r="XDS12" s="16"/>
      <c r="XDT12" s="16"/>
      <c r="XDU12" s="16"/>
      <c r="XDV12" s="16"/>
      <c r="XDW12" s="16"/>
      <c r="XDX12" s="16"/>
    </row>
    <row r="13" s="3" customFormat="1" ht="27" customHeight="1" spans="1:20 16343:16352">
      <c r="A13" s="12">
        <v>45940</v>
      </c>
      <c r="B13" s="13"/>
      <c r="C13" s="13">
        <v>247.04</v>
      </c>
      <c r="D13" s="13"/>
      <c r="E13" s="13"/>
      <c r="F13" s="13"/>
      <c r="G13" s="13"/>
      <c r="H13" s="13"/>
      <c r="I13" s="13"/>
      <c r="J13" s="13"/>
      <c r="K13" s="13">
        <v>6084.1</v>
      </c>
      <c r="L13" s="13"/>
      <c r="M13" s="13"/>
      <c r="N13" s="13"/>
      <c r="O13" s="13"/>
      <c r="P13" s="13"/>
      <c r="Q13" s="13">
        <f t="shared" si="0"/>
        <v>6331.14</v>
      </c>
      <c r="R13" s="14">
        <v>8500</v>
      </c>
      <c r="S13" s="15">
        <f t="shared" si="1"/>
        <v>106697.836</v>
      </c>
      <c r="T13" s="14"/>
      <c r="XDO13" s="16"/>
      <c r="XDP13" s="16"/>
      <c r="XDQ13" s="16"/>
      <c r="XDR13" s="16"/>
      <c r="XDS13" s="16"/>
      <c r="XDT13" s="16"/>
      <c r="XDU13" s="16"/>
      <c r="XDV13" s="16"/>
      <c r="XDW13" s="16"/>
      <c r="XDX13" s="16"/>
    </row>
    <row r="14" s="3" customFormat="1" ht="27" customHeight="1" spans="1:20 16343:16352">
      <c r="A14" s="12">
        <v>45941</v>
      </c>
      <c r="B14" s="13">
        <v>58.54</v>
      </c>
      <c r="C14" s="13"/>
      <c r="D14" s="13">
        <v>237.1</v>
      </c>
      <c r="E14" s="13"/>
      <c r="F14" s="13"/>
      <c r="G14" s="13"/>
      <c r="H14" s="13"/>
      <c r="I14" s="13"/>
      <c r="J14" s="13"/>
      <c r="K14" s="13"/>
      <c r="L14" s="13"/>
      <c r="M14" s="13"/>
      <c r="N14" s="13">
        <v>4017.72</v>
      </c>
      <c r="O14" s="13"/>
      <c r="P14" s="13"/>
      <c r="Q14" s="13">
        <f t="shared" si="0"/>
        <v>4313.36</v>
      </c>
      <c r="R14" s="14">
        <v>8043</v>
      </c>
      <c r="S14" s="15">
        <f t="shared" si="1"/>
        <v>102968.196</v>
      </c>
      <c r="T14" s="14"/>
      <c r="XDO14" s="16"/>
      <c r="XDP14" s="16"/>
      <c r="XDQ14" s="16"/>
      <c r="XDR14" s="16"/>
      <c r="XDS14" s="16"/>
      <c r="XDT14" s="16"/>
      <c r="XDU14" s="16"/>
      <c r="XDV14" s="16"/>
      <c r="XDW14" s="16"/>
      <c r="XDX14" s="16"/>
    </row>
    <row r="15" s="3" customFormat="1" ht="27" customHeight="1" spans="1:20 16343:16352">
      <c r="A15" s="12">
        <v>45942</v>
      </c>
      <c r="B15" s="13"/>
      <c r="C15" s="13"/>
      <c r="D15" s="17"/>
      <c r="E15" s="18"/>
      <c r="F15" s="1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>
        <f t="shared" si="0"/>
        <v>0</v>
      </c>
      <c r="R15" s="14">
        <v>6788</v>
      </c>
      <c r="S15" s="15">
        <f t="shared" si="1"/>
        <v>96180.196</v>
      </c>
      <c r="T15" s="14"/>
      <c r="XDO15" s="16"/>
      <c r="XDP15" s="16"/>
      <c r="XDQ15" s="16"/>
      <c r="XDR15" s="16"/>
      <c r="XDS15" s="16"/>
      <c r="XDT15" s="16"/>
      <c r="XDU15" s="16"/>
      <c r="XDV15" s="16"/>
      <c r="XDW15" s="16"/>
      <c r="XDX15" s="16"/>
    </row>
    <row r="16" s="3" customFormat="1" ht="27" customHeight="1" spans="1:20 16343:16352">
      <c r="A16" s="12">
        <v>45943</v>
      </c>
      <c r="B16" s="13">
        <v>438.5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>
        <f t="shared" si="0"/>
        <v>438.5</v>
      </c>
      <c r="R16" s="14">
        <v>5373</v>
      </c>
      <c r="S16" s="15">
        <f t="shared" si="1"/>
        <v>91245.696</v>
      </c>
      <c r="T16" s="14"/>
      <c r="XDO16" s="16"/>
      <c r="XDP16" s="16"/>
      <c r="XDQ16" s="16"/>
      <c r="XDR16" s="16"/>
      <c r="XDS16" s="16"/>
      <c r="XDT16" s="16"/>
      <c r="XDU16" s="16"/>
      <c r="XDV16" s="16"/>
      <c r="XDW16" s="16"/>
      <c r="XDX16" s="16"/>
    </row>
    <row r="17" s="3" customFormat="1" ht="27" customHeight="1" spans="1:20 16343:16352">
      <c r="A17" s="12">
        <v>45944</v>
      </c>
      <c r="B17" s="13">
        <v>291.62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>
        <v>7066.2</v>
      </c>
      <c r="P17" s="13"/>
      <c r="Q17" s="13">
        <f t="shared" si="0"/>
        <v>7357.82</v>
      </c>
      <c r="R17" s="14">
        <v>4991</v>
      </c>
      <c r="S17" s="15">
        <f t="shared" si="1"/>
        <v>93612.516</v>
      </c>
      <c r="T17" s="14"/>
      <c r="XDO17" s="16"/>
      <c r="XDP17" s="16"/>
      <c r="XDQ17" s="16"/>
      <c r="XDR17" s="16"/>
      <c r="XDS17" s="16"/>
      <c r="XDT17" s="16"/>
      <c r="XDU17" s="16"/>
      <c r="XDV17" s="16"/>
      <c r="XDW17" s="16"/>
      <c r="XDX17" s="16"/>
    </row>
    <row r="18" s="3" customFormat="1" ht="27" customHeight="1" spans="1:20 16343:16352">
      <c r="A18" s="12">
        <v>45945</v>
      </c>
      <c r="B18" s="13">
        <v>292.62</v>
      </c>
      <c r="C18" s="13"/>
      <c r="D18" s="13">
        <v>244.9</v>
      </c>
      <c r="E18" s="13"/>
      <c r="F18" s="13"/>
      <c r="G18" s="13">
        <v>3188.99</v>
      </c>
      <c r="H18" s="13"/>
      <c r="I18" s="13"/>
      <c r="J18" s="13"/>
      <c r="K18" s="13">
        <v>6558.64</v>
      </c>
      <c r="L18" s="13"/>
      <c r="M18" s="13"/>
      <c r="N18" s="13"/>
      <c r="O18" s="13"/>
      <c r="P18" s="13"/>
      <c r="Q18" s="13">
        <f t="shared" si="0"/>
        <v>10285.15</v>
      </c>
      <c r="R18" s="14">
        <v>6401</v>
      </c>
      <c r="S18" s="15">
        <f t="shared" si="1"/>
        <v>97496.666</v>
      </c>
      <c r="T18" s="14"/>
      <c r="XDO18" s="16"/>
      <c r="XDP18" s="16"/>
      <c r="XDQ18" s="16"/>
      <c r="XDR18" s="16"/>
      <c r="XDS18" s="16"/>
      <c r="XDT18" s="16"/>
      <c r="XDU18" s="16"/>
      <c r="XDV18" s="16"/>
      <c r="XDW18" s="16"/>
      <c r="XDX18" s="16"/>
    </row>
    <row r="19" s="3" customFormat="1" ht="27" customHeight="1" spans="1:20 16343:16352">
      <c r="A19" s="12">
        <v>45946</v>
      </c>
      <c r="B19" s="13">
        <v>321.4</v>
      </c>
      <c r="C19" s="13"/>
      <c r="D19" s="13">
        <v>122.12</v>
      </c>
      <c r="E19" s="13"/>
      <c r="F19" s="13"/>
      <c r="G19" s="13">
        <v>3768.5</v>
      </c>
      <c r="H19" s="13"/>
      <c r="I19" s="13"/>
      <c r="J19" s="13"/>
      <c r="K19" s="13"/>
      <c r="L19" s="13"/>
      <c r="M19" s="13"/>
      <c r="N19" s="13"/>
      <c r="O19" s="13">
        <v>6712.22</v>
      </c>
      <c r="P19" s="13"/>
      <c r="Q19" s="13">
        <f t="shared" si="0"/>
        <v>10924.24</v>
      </c>
      <c r="R19" s="14">
        <v>3400</v>
      </c>
      <c r="S19" s="15">
        <f t="shared" si="1"/>
        <v>105020.906</v>
      </c>
      <c r="T19" s="14"/>
      <c r="XDO19" s="16"/>
      <c r="XDP19" s="16"/>
      <c r="XDQ19" s="16"/>
      <c r="XDR19" s="16"/>
      <c r="XDS19" s="16"/>
      <c r="XDT19" s="16"/>
      <c r="XDU19" s="16"/>
      <c r="XDV19" s="16"/>
      <c r="XDW19" s="16"/>
      <c r="XDX19" s="16"/>
    </row>
    <row r="20" s="3" customFormat="1" ht="27" customHeight="1" spans="1:20 16343:16352">
      <c r="A20" s="12">
        <v>45947</v>
      </c>
      <c r="B20" s="13">
        <v>174.96</v>
      </c>
      <c r="C20" s="13">
        <v>185.34</v>
      </c>
      <c r="D20" s="13"/>
      <c r="E20" s="13"/>
      <c r="F20" s="13"/>
      <c r="G20" s="13">
        <v>3691.3</v>
      </c>
      <c r="H20" s="13"/>
      <c r="I20" s="13">
        <v>3325.6</v>
      </c>
      <c r="J20" s="13"/>
      <c r="K20" s="13"/>
      <c r="L20" s="13"/>
      <c r="M20" s="13"/>
      <c r="N20" s="13"/>
      <c r="O20" s="13"/>
      <c r="P20" s="13"/>
      <c r="Q20" s="13">
        <f t="shared" si="0"/>
        <v>7377.2</v>
      </c>
      <c r="R20" s="14">
        <v>3980</v>
      </c>
      <c r="S20" s="15">
        <f t="shared" si="1"/>
        <v>108418.106</v>
      </c>
      <c r="T20" s="14"/>
      <c r="XDO20" s="16"/>
      <c r="XDP20" s="16"/>
      <c r="XDQ20" s="16"/>
      <c r="XDR20" s="16"/>
      <c r="XDS20" s="16"/>
      <c r="XDT20" s="16"/>
      <c r="XDU20" s="16"/>
      <c r="XDV20" s="16"/>
      <c r="XDW20" s="16"/>
      <c r="XDX20" s="16"/>
    </row>
    <row r="21" s="3" customFormat="1" ht="27" customHeight="1" spans="1:20 16343:16352">
      <c r="A21" s="12">
        <v>45948</v>
      </c>
      <c r="B21" s="13">
        <v>203.88</v>
      </c>
      <c r="C21" s="13"/>
      <c r="D21" s="13"/>
      <c r="E21" s="13"/>
      <c r="F21" s="13"/>
      <c r="G21" s="13">
        <v>3415.54</v>
      </c>
      <c r="H21" s="13"/>
      <c r="I21" s="13"/>
      <c r="J21" s="13"/>
      <c r="K21" s="13">
        <v>4625.86</v>
      </c>
      <c r="L21" s="13"/>
      <c r="M21" s="13"/>
      <c r="N21" s="13"/>
      <c r="O21" s="13"/>
      <c r="P21" s="13"/>
      <c r="Q21" s="13">
        <f t="shared" si="0"/>
        <v>8245.28</v>
      </c>
      <c r="R21" s="14">
        <v>4149</v>
      </c>
      <c r="S21" s="15">
        <f t="shared" si="1"/>
        <v>112514.386</v>
      </c>
      <c r="T21" s="14"/>
      <c r="XDO21" s="16"/>
      <c r="XDP21" s="16"/>
      <c r="XDQ21" s="16"/>
      <c r="XDR21" s="16"/>
      <c r="XDS21" s="16"/>
      <c r="XDT21" s="16"/>
      <c r="XDU21" s="16"/>
      <c r="XDV21" s="16"/>
      <c r="XDW21" s="16"/>
      <c r="XDX21" s="16"/>
    </row>
    <row r="22" s="3" customFormat="1" ht="27" customHeight="1" spans="1:20 16343:16352">
      <c r="A22" s="12">
        <v>45949</v>
      </c>
      <c r="B22" s="13">
        <v>321.9</v>
      </c>
      <c r="C22" s="13"/>
      <c r="D22" s="13"/>
      <c r="E22" s="13">
        <v>553.74</v>
      </c>
      <c r="F22" s="13"/>
      <c r="G22" s="13"/>
      <c r="H22" s="13"/>
      <c r="I22" s="13"/>
      <c r="J22" s="13"/>
      <c r="K22" s="13"/>
      <c r="L22" s="13"/>
      <c r="M22" s="13"/>
      <c r="N22" s="13"/>
      <c r="O22" s="13">
        <v>4615</v>
      </c>
      <c r="P22" s="13"/>
      <c r="Q22" s="13">
        <f t="shared" si="0"/>
        <v>5490.64</v>
      </c>
      <c r="R22" s="14">
        <v>3621</v>
      </c>
      <c r="S22" s="15">
        <f t="shared" si="1"/>
        <v>114384.026</v>
      </c>
      <c r="T22" s="14"/>
      <c r="XDO22" s="16"/>
      <c r="XDP22" s="16"/>
      <c r="XDQ22" s="16"/>
      <c r="XDR22" s="16"/>
      <c r="XDS22" s="16"/>
      <c r="XDT22" s="16"/>
      <c r="XDU22" s="16"/>
      <c r="XDV22" s="16"/>
      <c r="XDW22" s="16"/>
      <c r="XDX22" s="16"/>
    </row>
    <row r="23" s="3" customFormat="1" ht="27" customHeight="1" spans="1:20 16343:16352">
      <c r="A23" s="12">
        <v>45950</v>
      </c>
      <c r="B23" s="13"/>
      <c r="C23" s="13">
        <v>437.8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>
        <v>3338.18</v>
      </c>
      <c r="O23" s="13"/>
      <c r="P23" s="13"/>
      <c r="Q23" s="13">
        <f t="shared" si="0"/>
        <v>3775.98</v>
      </c>
      <c r="R23" s="14">
        <v>4600</v>
      </c>
      <c r="S23" s="15">
        <f t="shared" si="1"/>
        <v>113560.006</v>
      </c>
      <c r="T23" s="14"/>
      <c r="XDO23" s="16"/>
      <c r="XDP23" s="16"/>
      <c r="XDQ23" s="16"/>
      <c r="XDR23" s="16"/>
      <c r="XDS23" s="16"/>
      <c r="XDT23" s="16"/>
      <c r="XDU23" s="16"/>
      <c r="XDV23" s="16"/>
      <c r="XDW23" s="16"/>
      <c r="XDX23" s="16"/>
    </row>
    <row r="24" s="3" customFormat="1" ht="27" customHeight="1" spans="1:20 16343:16352">
      <c r="A24" s="12">
        <v>45951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>
        <v>4338.44</v>
      </c>
      <c r="P24" s="13"/>
      <c r="Q24" s="13">
        <f t="shared" si="0"/>
        <v>4338.44</v>
      </c>
      <c r="R24" s="14">
        <v>4400</v>
      </c>
      <c r="S24" s="15">
        <f t="shared" si="1"/>
        <v>113498.446</v>
      </c>
      <c r="T24" s="14"/>
      <c r="XDO24" s="16"/>
      <c r="XDP24" s="16"/>
      <c r="XDQ24" s="16"/>
      <c r="XDR24" s="16"/>
      <c r="XDS24" s="16"/>
      <c r="XDT24" s="16"/>
      <c r="XDU24" s="16"/>
      <c r="XDV24" s="16"/>
      <c r="XDW24" s="16"/>
      <c r="XDX24" s="16"/>
    </row>
    <row r="25" s="3" customFormat="1" ht="27" customHeight="1" spans="1:20 16343:16352">
      <c r="A25" s="12">
        <v>45952</v>
      </c>
      <c r="B25" s="13"/>
      <c r="C25" s="13"/>
      <c r="D25" s="13"/>
      <c r="E25" s="13"/>
      <c r="F25" s="13"/>
      <c r="G25" s="13">
        <v>4318.86</v>
      </c>
      <c r="H25" s="13"/>
      <c r="I25" s="13">
        <v>4344.14</v>
      </c>
      <c r="J25" s="13"/>
      <c r="K25" s="13"/>
      <c r="L25" s="13"/>
      <c r="M25" s="13"/>
      <c r="N25" s="13"/>
      <c r="O25" s="13"/>
      <c r="P25" s="13"/>
      <c r="Q25" s="13">
        <f t="shared" si="0"/>
        <v>8663</v>
      </c>
      <c r="R25" s="14">
        <v>4500</v>
      </c>
      <c r="S25" s="15">
        <f t="shared" si="1"/>
        <v>117661.446</v>
      </c>
      <c r="T25" s="14"/>
      <c r="XDO25" s="16"/>
      <c r="XDP25" s="16"/>
      <c r="XDQ25" s="16"/>
      <c r="XDR25" s="16"/>
      <c r="XDS25" s="16"/>
      <c r="XDT25" s="16"/>
      <c r="XDU25" s="16"/>
      <c r="XDV25" s="16"/>
      <c r="XDW25" s="16"/>
      <c r="XDX25" s="16"/>
    </row>
    <row r="26" s="3" customFormat="1" ht="27" customHeight="1" spans="1:20 16343:16352">
      <c r="A26" s="12">
        <v>45953</v>
      </c>
      <c r="B26" s="13">
        <v>145.8</v>
      </c>
      <c r="C26" s="13"/>
      <c r="D26" s="13"/>
      <c r="E26" s="13"/>
      <c r="F26" s="13"/>
      <c r="G26" s="13"/>
      <c r="H26" s="13"/>
      <c r="I26" s="13"/>
      <c r="J26" s="13"/>
      <c r="K26" s="13"/>
      <c r="L26" s="13">
        <v>3409.48</v>
      </c>
      <c r="M26" s="13"/>
      <c r="N26" s="13"/>
      <c r="O26" s="13"/>
      <c r="P26" s="13"/>
      <c r="Q26" s="13">
        <f t="shared" si="0"/>
        <v>3555.28</v>
      </c>
      <c r="R26" s="14">
        <v>4300</v>
      </c>
      <c r="S26" s="15">
        <f t="shared" si="1"/>
        <v>116916.726</v>
      </c>
      <c r="T26" s="17"/>
      <c r="XDO26" s="16"/>
      <c r="XDP26" s="16"/>
      <c r="XDQ26" s="16"/>
      <c r="XDR26" s="16"/>
      <c r="XDS26" s="16"/>
      <c r="XDT26" s="16"/>
      <c r="XDU26" s="16"/>
      <c r="XDV26" s="16"/>
      <c r="XDW26" s="16"/>
      <c r="XDX26" s="16"/>
    </row>
    <row r="27" s="3" customFormat="1" ht="27" customHeight="1" spans="1:20 16343:16352">
      <c r="A27" s="12">
        <v>45954</v>
      </c>
      <c r="B27" s="13"/>
      <c r="C27" s="13"/>
      <c r="D27" s="13"/>
      <c r="E27" s="13"/>
      <c r="F27" s="13"/>
      <c r="G27" s="13">
        <v>4576.1</v>
      </c>
      <c r="H27" s="13"/>
      <c r="I27" s="13"/>
      <c r="J27" s="13"/>
      <c r="K27" s="13"/>
      <c r="L27" s="13"/>
      <c r="M27" s="13"/>
      <c r="N27" s="13"/>
      <c r="O27" s="13">
        <v>2997.46</v>
      </c>
      <c r="P27" s="13"/>
      <c r="Q27" s="13">
        <f t="shared" si="0"/>
        <v>7573.56</v>
      </c>
      <c r="R27" s="14">
        <v>5100</v>
      </c>
      <c r="S27" s="15">
        <f t="shared" si="1"/>
        <v>119390.286</v>
      </c>
      <c r="T27" s="14"/>
      <c r="XDO27" s="16"/>
      <c r="XDP27" s="16"/>
      <c r="XDQ27" s="16"/>
      <c r="XDR27" s="16"/>
      <c r="XDS27" s="16"/>
      <c r="XDT27" s="16"/>
      <c r="XDU27" s="16"/>
      <c r="XDV27" s="16"/>
      <c r="XDW27" s="16"/>
      <c r="XDX27" s="16"/>
    </row>
    <row r="28" s="3" customFormat="1" ht="27" customHeight="1" spans="1:20 16343:16352">
      <c r="A28" s="12">
        <v>45955</v>
      </c>
      <c r="B28" s="13"/>
      <c r="C28" s="13"/>
      <c r="D28" s="13"/>
      <c r="E28" s="13"/>
      <c r="F28" s="13"/>
      <c r="G28" s="13">
        <v>2669.58</v>
      </c>
      <c r="H28" s="13"/>
      <c r="I28" s="13"/>
      <c r="J28" s="13"/>
      <c r="K28" s="13"/>
      <c r="L28" s="13"/>
      <c r="M28" s="13"/>
      <c r="N28" s="13">
        <v>6139.62</v>
      </c>
      <c r="O28" s="13"/>
      <c r="P28" s="13"/>
      <c r="Q28" s="13">
        <f t="shared" si="0"/>
        <v>8809.2</v>
      </c>
      <c r="R28" s="14">
        <v>4024</v>
      </c>
      <c r="S28" s="15">
        <f t="shared" si="1"/>
        <v>124175.486</v>
      </c>
      <c r="T28" s="14"/>
      <c r="XDO28" s="16"/>
      <c r="XDP28" s="16"/>
      <c r="XDQ28" s="16"/>
      <c r="XDR28" s="16"/>
      <c r="XDS28" s="16"/>
      <c r="XDT28" s="16"/>
      <c r="XDU28" s="16"/>
      <c r="XDV28" s="16"/>
      <c r="XDW28" s="16"/>
      <c r="XDX28" s="16"/>
    </row>
    <row r="29" s="3" customFormat="1" ht="27" customHeight="1" spans="1:20 16343:16352">
      <c r="A29" s="12">
        <v>45956</v>
      </c>
      <c r="B29" s="13">
        <v>379.62</v>
      </c>
      <c r="C29" s="13">
        <v>911.28</v>
      </c>
      <c r="D29" s="13">
        <v>216.3</v>
      </c>
      <c r="E29" s="13"/>
      <c r="F29" s="13">
        <v>898.6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>
        <f t="shared" si="0"/>
        <v>2405.8</v>
      </c>
      <c r="R29" s="14">
        <v>2775</v>
      </c>
      <c r="S29" s="15">
        <f t="shared" si="1"/>
        <v>123806.286</v>
      </c>
      <c r="T29" s="14"/>
      <c r="XDO29" s="16"/>
      <c r="XDP29" s="16"/>
      <c r="XDQ29" s="16"/>
      <c r="XDR29" s="16"/>
      <c r="XDS29" s="16"/>
      <c r="XDT29" s="16"/>
      <c r="XDU29" s="16"/>
      <c r="XDV29" s="16"/>
      <c r="XDW29" s="16"/>
      <c r="XDX29" s="16"/>
    </row>
    <row r="30" s="3" customFormat="1" ht="27" customHeight="1" spans="1:20 16343:16352">
      <c r="A30" s="12">
        <v>45957</v>
      </c>
      <c r="B30" s="13"/>
      <c r="C30" s="13">
        <v>122.9</v>
      </c>
      <c r="D30" s="13">
        <v>242.98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>
        <f t="shared" si="0"/>
        <v>365.88</v>
      </c>
      <c r="R30" s="14">
        <v>2880</v>
      </c>
      <c r="S30" s="15">
        <f t="shared" si="1"/>
        <v>121292.166</v>
      </c>
      <c r="T30" s="14"/>
      <c r="XDO30" s="16"/>
      <c r="XDP30" s="16"/>
      <c r="XDQ30" s="16"/>
      <c r="XDR30" s="16"/>
      <c r="XDS30" s="16"/>
      <c r="XDT30" s="16"/>
      <c r="XDU30" s="16"/>
      <c r="XDV30" s="16"/>
      <c r="XDW30" s="16"/>
      <c r="XDX30" s="16"/>
    </row>
    <row r="31" s="3" customFormat="1" ht="27" customHeight="1" spans="1:20 16343:16352">
      <c r="A31" s="12">
        <v>45958</v>
      </c>
      <c r="B31" s="13">
        <v>145.86</v>
      </c>
      <c r="C31" s="13"/>
      <c r="D31" s="13"/>
      <c r="E31" s="13"/>
      <c r="F31" s="13">
        <v>1675.56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>
        <f t="shared" si="0"/>
        <v>1821.42</v>
      </c>
      <c r="R31" s="14">
        <v>3315</v>
      </c>
      <c r="S31" s="15">
        <f t="shared" si="1"/>
        <v>119798.586</v>
      </c>
      <c r="T31" s="14"/>
      <c r="XDO31" s="16"/>
      <c r="XDP31" s="16"/>
      <c r="XDQ31" s="16"/>
      <c r="XDR31" s="16"/>
      <c r="XDS31" s="16"/>
      <c r="XDT31" s="16"/>
      <c r="XDU31" s="16"/>
      <c r="XDV31" s="16"/>
      <c r="XDW31" s="16"/>
      <c r="XDX31" s="16"/>
    </row>
    <row r="32" s="3" customFormat="1" ht="27" customHeight="1" spans="1:20 16343:16352">
      <c r="A32" s="12">
        <v>45959</v>
      </c>
      <c r="B32" s="13"/>
      <c r="C32" s="13"/>
      <c r="D32" s="13"/>
      <c r="E32" s="13"/>
      <c r="F32" s="13">
        <v>1060.6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>
        <f t="shared" si="0"/>
        <v>1060.6</v>
      </c>
      <c r="R32" s="14">
        <v>2845</v>
      </c>
      <c r="S32" s="15">
        <f t="shared" si="1"/>
        <v>118014.186</v>
      </c>
      <c r="T32" s="14"/>
      <c r="XDO32" s="16"/>
      <c r="XDP32" s="16"/>
      <c r="XDQ32" s="16"/>
      <c r="XDR32" s="16"/>
      <c r="XDS32" s="16"/>
      <c r="XDT32" s="16"/>
      <c r="XDU32" s="16"/>
      <c r="XDV32" s="16"/>
      <c r="XDW32" s="16"/>
      <c r="XDX32" s="16"/>
    </row>
    <row r="33" s="3" customFormat="1" ht="27" customHeight="1" spans="1:20 16343:16352">
      <c r="A33" s="12">
        <v>45960</v>
      </c>
      <c r="B33" s="13">
        <v>204.22</v>
      </c>
      <c r="C33" s="13">
        <v>342.34</v>
      </c>
      <c r="D33" s="13">
        <v>642.46</v>
      </c>
      <c r="E33" s="13"/>
      <c r="F33" s="13">
        <v>1054.74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>
        <f t="shared" si="0"/>
        <v>2243.76</v>
      </c>
      <c r="R33" s="14">
        <v>3800</v>
      </c>
      <c r="S33" s="15">
        <f t="shared" si="1"/>
        <v>116457.946</v>
      </c>
      <c r="T33" s="14"/>
      <c r="XDO33" s="16"/>
      <c r="XDP33" s="16"/>
      <c r="XDQ33" s="16"/>
      <c r="XDR33" s="16"/>
      <c r="XDS33" s="16"/>
      <c r="XDT33" s="16"/>
      <c r="XDU33" s="16"/>
      <c r="XDV33" s="16"/>
      <c r="XDW33" s="16"/>
      <c r="XDX33" s="16"/>
    </row>
    <row r="34" s="3" customFormat="1" ht="26" customHeight="1" spans="1:20 16343:16352">
      <c r="A34" s="12">
        <v>45961</v>
      </c>
      <c r="B34" s="13">
        <v>29.1</v>
      </c>
      <c r="C34" s="13">
        <v>528.8</v>
      </c>
      <c r="D34" s="13">
        <v>450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>
        <f t="shared" si="0"/>
        <v>1007.9</v>
      </c>
      <c r="R34" s="14">
        <v>3200</v>
      </c>
      <c r="S34" s="15">
        <f t="shared" si="1"/>
        <v>114265.846</v>
      </c>
      <c r="T34" s="14"/>
      <c r="XDO34" s="16"/>
      <c r="XDP34" s="16"/>
      <c r="XDQ34" s="16"/>
      <c r="XDR34" s="16"/>
      <c r="XDS34" s="16"/>
      <c r="XDT34" s="16"/>
      <c r="XDU34" s="16"/>
      <c r="XDV34" s="16"/>
      <c r="XDW34" s="16"/>
      <c r="XDX34" s="16"/>
    </row>
    <row r="35" s="3" customFormat="1" ht="27" customHeight="1" spans="1:20 16343:16352">
      <c r="A35" s="19" t="s">
        <v>27</v>
      </c>
      <c r="B35" s="19">
        <f>SUM(B4:B34)</f>
        <v>3008.02</v>
      </c>
      <c r="C35" s="19">
        <f>SUM(C4:C34)</f>
        <v>3986.94</v>
      </c>
      <c r="D35" s="19">
        <f>SUM(D4:D34)</f>
        <v>2462.82</v>
      </c>
      <c r="E35" s="19">
        <f>SUM(E4:E34)</f>
        <v>553.74</v>
      </c>
      <c r="F35" s="19">
        <f t="shared" ref="F35:L35" si="2">SUM(F4:F34)</f>
        <v>4689.5</v>
      </c>
      <c r="G35" s="19">
        <f t="shared" si="2"/>
        <v>47647.41</v>
      </c>
      <c r="H35" s="19">
        <f t="shared" si="2"/>
        <v>0</v>
      </c>
      <c r="I35" s="19">
        <f t="shared" si="2"/>
        <v>9939.54</v>
      </c>
      <c r="J35" s="19">
        <f t="shared" si="2"/>
        <v>4793.96</v>
      </c>
      <c r="K35" s="19">
        <f t="shared" si="2"/>
        <v>17268.6</v>
      </c>
      <c r="L35" s="19">
        <f t="shared" si="2"/>
        <v>3409.48</v>
      </c>
      <c r="M35" s="19">
        <f t="shared" ref="M35:R35" si="3">SUM(M4:M34)</f>
        <v>0</v>
      </c>
      <c r="N35" s="19">
        <f t="shared" si="3"/>
        <v>13495.52</v>
      </c>
      <c r="O35" s="19">
        <f t="shared" si="3"/>
        <v>31628.56</v>
      </c>
      <c r="P35" s="19">
        <f t="shared" si="3"/>
        <v>3539.67</v>
      </c>
      <c r="Q35" s="19">
        <f t="shared" si="3"/>
        <v>146423.76</v>
      </c>
      <c r="R35" s="19">
        <f t="shared" si="3"/>
        <v>146894.75</v>
      </c>
      <c r="S35" s="20"/>
      <c r="T35" s="14"/>
      <c r="XDO35" s="16"/>
      <c r="XDP35" s="16"/>
      <c r="XDQ35" s="16"/>
      <c r="XDR35" s="16"/>
      <c r="XDS35" s="16"/>
      <c r="XDT35" s="16"/>
      <c r="XDU35" s="16"/>
      <c r="XDV35" s="16"/>
      <c r="XDW35" s="16"/>
      <c r="XDX35" s="16"/>
    </row>
  </sheetData>
  <mergeCells count="8">
    <mergeCell ref="A1:T1"/>
    <mergeCell ref="B2:F2"/>
    <mergeCell ref="H2:I2"/>
    <mergeCell ref="J2:L2"/>
    <mergeCell ref="N2:P2"/>
    <mergeCell ref="A2:A3"/>
    <mergeCell ref="Q2:Q3"/>
    <mergeCell ref="R2:R3"/>
  </mergeCells>
  <printOptions horizontalCentered="1" verticalCentered="1"/>
  <pageMargins left="0.196527777777778" right="0.196527777777778" top="0.393055555555556" bottom="0.393055555555556" header="0.101388888888889" footer="0"/>
  <pageSetup paperSize="9" scale="5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梁晶</dc:creator>
  <cp:lastModifiedBy>梁晶</cp:lastModifiedBy>
  <dcterms:created xsi:type="dcterms:W3CDTF">2022-08-01T22:45:00Z</dcterms:created>
  <dcterms:modified xsi:type="dcterms:W3CDTF">2025-11-01T01:36:22Z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9E5780B153A055781F020D642C1D235A_33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