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555" tabRatio="672"/>
  </bookViews>
  <sheets>
    <sheet name="2025.05" sheetId="2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<sst xmlns="http://schemas.openxmlformats.org/spreadsheetml/2006/main" count="32" uniqueCount="32">
  <si>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2025年5月侯马热电收耗存数据</t>
  </si>
  <si>
    <t>日期</t>
  </si>
  <si>
    <t>焦煤</t>
  </si>
  <si>
    <t>地方</t>
  </si>
  <si>
    <t>太原煤气化</t>
  </si>
  <si>
    <t>煤业集团</t>
  </si>
  <si>
    <t>忻州公司</t>
  </si>
  <si>
    <t>轩岗煤电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</si>
  <si>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</si>
  <si>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</si>
  <si>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</si>
  <si>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</si>
  <si>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</si>
  <si>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</si>
  <si>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昊兴塬(G)
5-1</t>
  </si>
  <si>
    <t>雪坪(G)
5-1</t>
  </si>
  <si>
    <t>三交河(G)
5-1</t>
  </si>
  <si>
    <t>富康源(G)</t>
  </si>
  <si>
    <t>华泓（G）
5-1</t>
  </si>
  <si>
    <t>东沟（G）
5-1</t>
  </si>
  <si>
    <t>龙泉（T）
3-1</t>
  </si>
  <si>
    <t>龙泉（T）
4-1</t>
  </si>
  <si>
    <t>龙泉（T）
5-1</t>
  </si>
  <si>
    <t>北辛窑（T）4-1</t>
  </si>
  <si>
    <t>北辛窑（T）5-1</t>
  </si>
  <si>
    <t>王家岭（T）4-1</t>
  </si>
  <si>
    <t>梨园河（T）</t>
  </si>
  <si>
    <t>莲盛（T）
3-1</t>
  </si>
  <si>
    <t>莲盛（T）
4-1</t>
  </si>
  <si>
    <t>四明山（G）</t>
  </si>
  <si>
    <t>野川（G）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</si>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</sst>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3665;&#35199;&#20399;&#39532;&#26085;&#25253;&#34920;2025.0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5月"/>
    </sheetNames>
    <sheetDataSet>
      <sheetData sheetId="0">
        <row r="37">
          <cell r="W37">
            <v>250326.31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T36"/>
  <sheetViews>
    <sheetView tabSelected="1" zoomScale="75" zoomScaleNormal="75" workbookViewId="0">
      <pane ySplit="3" topLeftCell="A4" activePane="bottomLeft" state="frozen"/>
      <selection/>
      <selection pane="bottomLeft" activeCell="W33" sqref="W33"/>
    </sheetView>
  </sheetViews>
  <sheetFormatPr defaultColWidth="9.90833333333333" defaultRowHeight="13.5"/>
  <cols>
    <col min="1" max="1" width="12.7666666666667" style="4" customWidth="1"/>
    <col min="2" max="13" width="11.8916666666667" style="4" customWidth="1"/>
    <col min="14" max="14" width="12.0833333333333" style="4" hidden="1" customWidth="1"/>
    <col min="15" max="15" width="11.8916666666667" style="4" customWidth="1"/>
    <col min="16" max="16" width="11.8" style="4" customWidth="1"/>
    <col min="17" max="18" width="12.325" style="4" hidden="1" customWidth="1"/>
    <col min="19" max="20" width="12.8583333333333" style="4" customWidth="1"/>
    <col min="21" max="21" width="14.8333333333333" style="4" customWidth="1"/>
    <col min="22" max="22" width="8.95" style="4" customWidth="1"/>
    <col min="23" max="16344" width="8.95" style="4"/>
    <col min="16345" max="16353" width="9.7" style="4"/>
    <col min="16354" max="16371" width="9.675" style="4"/>
    <col min="16372" max="16384" width="9.64166666666667" style="5"/>
  </cols>
  <sheetData>
    <row r="1" s="1" customFormat="1" ht="34" customHeight="1" spans="1:2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="2" customFormat="1" ht="30" customHeight="1" spans="1:16354">
      <c r="A2" s="7" t="s">
        <v>1</v>
      </c>
      <c r="B2" s="7" t="s">
        <v>2</v>
      </c>
      <c r="C2" s="7"/>
      <c r="D2" s="7"/>
      <c r="E2" s="7" t="s">
        <v>3</v>
      </c>
      <c r="F2" s="7" t="s">
        <v>4</v>
      </c>
      <c r="G2" s="7"/>
      <c r="H2" s="7"/>
      <c r="I2" s="7"/>
      <c r="J2" s="7"/>
      <c r="K2" s="7" t="s">
        <v>5</v>
      </c>
      <c r="L2" s="7"/>
      <c r="M2" s="7" t="s">
        <v>6</v>
      </c>
      <c r="N2" s="7" t="s">
        <v>7</v>
      </c>
      <c r="O2" s="7" t="s">
        <v>8</v>
      </c>
      <c r="P2" s="7"/>
      <c r="Q2" s="7" t="s">
        <v>9</v>
      </c>
      <c r="R2" s="7"/>
      <c r="S2" s="7" t="s">
        <v>10</v>
      </c>
      <c r="T2" s="7" t="s">
        <v>11</v>
      </c>
      <c r="U2" s="14" t="s">
        <v>12</v>
      </c>
      <c r="V2" s="14" t="s">
        <v>13</v>
      </c>
      <c r="XDQ2" s="17"/>
      <c r="XDR2" s="17"/>
      <c r="XDS2" s="17"/>
      <c r="XDT2" s="17"/>
      <c r="XDU2" s="17"/>
      <c r="XDV2" s="17"/>
      <c r="XDW2" s="17"/>
      <c r="XDX2" s="17"/>
      <c r="XDY2" s="17"/>
      <c r="XDZ2" s="17"/>
    </row>
    <row r="3" s="2" customFormat="1" ht="39" customHeight="1" spans="1:16354">
      <c r="A3" s="7"/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S3" s="7"/>
      <c r="T3" s="7"/>
      <c r="U3" s="15">
        <v>104834.38</v>
      </c>
      <c r="V3" s="14"/>
      <c r="XDQ3" s="17"/>
      <c r="XDR3" s="17"/>
      <c r="XDS3" s="17"/>
      <c r="XDT3" s="17"/>
      <c r="XDU3" s="17"/>
      <c r="XDV3" s="17"/>
      <c r="XDW3" s="17"/>
      <c r="XDX3" s="17"/>
      <c r="XDY3" s="17"/>
      <c r="XDZ3" s="17"/>
    </row>
    <row r="4" s="3" customFormat="1" ht="27" customHeight="1" spans="1:16354">
      <c r="A4" s="8">
        <v>45778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2">
        <f t="shared" ref="S4:S34" si="0">SUM(B4:R4)</f>
        <v>0</v>
      </c>
      <c r="T4" s="13">
        <v>2071</v>
      </c>
      <c r="U4" s="9">
        <f t="shared" ref="U4:U34" si="1">U3+S4-T4</f>
        <v>102763.38</v>
      </c>
      <c r="V4" s="13"/>
      <c r="XDQ4" s="18"/>
      <c r="XDR4" s="18"/>
      <c r="XDS4" s="18"/>
      <c r="XDT4" s="18"/>
      <c r="XDU4" s="18"/>
      <c r="XDV4" s="18"/>
      <c r="XDW4" s="18"/>
      <c r="XDX4" s="18"/>
      <c r="XDY4" s="18"/>
      <c r="XDZ4" s="18"/>
    </row>
    <row r="5" s="3" customFormat="1" ht="27" customHeight="1" spans="1:16354">
      <c r="A5" s="8">
        <v>45779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2">
        <f t="shared" si="0"/>
        <v>0</v>
      </c>
      <c r="T5" s="13">
        <v>2286</v>
      </c>
      <c r="U5" s="9">
        <f t="shared" si="1"/>
        <v>100477.38</v>
      </c>
      <c r="V5" s="13"/>
      <c r="XDQ5" s="18"/>
      <c r="XDR5" s="18"/>
      <c r="XDS5" s="18"/>
      <c r="XDT5" s="18"/>
      <c r="XDU5" s="18"/>
      <c r="XDV5" s="18"/>
      <c r="XDW5" s="18"/>
      <c r="XDX5" s="18"/>
      <c r="XDY5" s="18"/>
      <c r="XDZ5" s="18"/>
    </row>
    <row r="6" s="3" customFormat="1" ht="27" customHeight="1" spans="1:16354">
      <c r="A6" s="8">
        <v>45780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2">
        <f t="shared" si="0"/>
        <v>0</v>
      </c>
      <c r="T6" s="13">
        <v>2224</v>
      </c>
      <c r="U6" s="9">
        <f t="shared" si="1"/>
        <v>98253.38</v>
      </c>
      <c r="V6" s="13"/>
      <c r="XDQ6" s="18"/>
      <c r="XDR6" s="18"/>
      <c r="XDS6" s="18"/>
      <c r="XDT6" s="18"/>
      <c r="XDU6" s="18"/>
      <c r="XDV6" s="18"/>
      <c r="XDW6" s="18"/>
      <c r="XDX6" s="18"/>
      <c r="XDY6" s="18"/>
      <c r="XDZ6" s="18"/>
    </row>
    <row r="7" s="3" customFormat="1" ht="27" customHeight="1" spans="1:16354">
      <c r="A7" s="8">
        <v>45781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2">
        <f t="shared" si="0"/>
        <v>0</v>
      </c>
      <c r="T7" s="13">
        <v>2335</v>
      </c>
      <c r="U7" s="9">
        <f t="shared" si="1"/>
        <v>95918.38</v>
      </c>
      <c r="V7" s="13"/>
      <c r="XDQ7" s="18"/>
      <c r="XDR7" s="18"/>
      <c r="XDS7" s="18"/>
      <c r="XDT7" s="18"/>
      <c r="XDU7" s="18"/>
      <c r="XDV7" s="18"/>
      <c r="XDW7" s="18"/>
      <c r="XDX7" s="18"/>
      <c r="XDY7" s="18"/>
      <c r="XDZ7" s="18"/>
    </row>
    <row r="8" s="3" customFormat="1" ht="27" customHeight="1" spans="1:16354">
      <c r="A8" s="8">
        <v>45782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2">
        <f t="shared" si="0"/>
        <v>0</v>
      </c>
      <c r="T8" s="13">
        <v>1783</v>
      </c>
      <c r="U8" s="9">
        <f t="shared" si="1"/>
        <v>94135.38</v>
      </c>
      <c r="V8" s="13"/>
      <c r="XDQ8" s="18"/>
      <c r="XDR8" s="18"/>
      <c r="XDS8" s="18"/>
      <c r="XDT8" s="18"/>
      <c r="XDU8" s="18"/>
      <c r="XDV8" s="18"/>
      <c r="XDW8" s="18"/>
      <c r="XDX8" s="18"/>
      <c r="XDY8" s="18"/>
      <c r="XDZ8" s="18"/>
    </row>
    <row r="9" s="3" customFormat="1" ht="27" customHeight="1" spans="1:16354">
      <c r="A9" s="8">
        <v>45783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2">
        <f t="shared" si="0"/>
        <v>0</v>
      </c>
      <c r="T9" s="13">
        <v>2427</v>
      </c>
      <c r="U9" s="9">
        <f t="shared" si="1"/>
        <v>91708.38</v>
      </c>
      <c r="V9" s="13"/>
      <c r="XDQ9" s="18"/>
      <c r="XDR9" s="18"/>
      <c r="XDS9" s="18"/>
      <c r="XDT9" s="18"/>
      <c r="XDU9" s="18"/>
      <c r="XDV9" s="18"/>
      <c r="XDW9" s="18"/>
      <c r="XDX9" s="18"/>
      <c r="XDY9" s="18"/>
      <c r="XDZ9" s="18"/>
    </row>
    <row r="10" s="3" customFormat="1" ht="27" customHeight="1" spans="1:16354">
      <c r="A10" s="8">
        <v>45784</v>
      </c>
      <c r="B10" s="9"/>
      <c r="C10" s="9"/>
      <c r="D10" s="9"/>
      <c r="E10" s="9"/>
      <c r="F10" s="9"/>
      <c r="G10" s="9"/>
      <c r="H10" s="9">
        <v>55.72</v>
      </c>
      <c r="I10" s="9">
        <v>5991.22</v>
      </c>
      <c r="J10" s="9"/>
      <c r="K10" s="9"/>
      <c r="L10" s="9"/>
      <c r="M10" s="9"/>
      <c r="N10" s="9"/>
      <c r="O10" s="9"/>
      <c r="P10" s="9"/>
      <c r="Q10" s="9"/>
      <c r="R10" s="9"/>
      <c r="S10" s="12">
        <f t="shared" si="0"/>
        <v>6046.94</v>
      </c>
      <c r="T10" s="13">
        <v>2463</v>
      </c>
      <c r="U10" s="9">
        <f t="shared" si="1"/>
        <v>95292.32</v>
      </c>
      <c r="V10" s="13"/>
      <c r="XDQ10" s="18"/>
      <c r="XDR10" s="18"/>
      <c r="XDS10" s="18"/>
      <c r="XDT10" s="18"/>
      <c r="XDU10" s="18"/>
      <c r="XDV10" s="18"/>
      <c r="XDW10" s="18"/>
      <c r="XDX10" s="18"/>
      <c r="XDY10" s="18"/>
      <c r="XDZ10" s="18"/>
    </row>
    <row r="11" s="3" customFormat="1" ht="27" customHeight="1" spans="1:16354">
      <c r="A11" s="8">
        <v>45785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2">
        <f t="shared" si="0"/>
        <v>0</v>
      </c>
      <c r="T11" s="13">
        <v>3067</v>
      </c>
      <c r="U11" s="9">
        <f t="shared" si="1"/>
        <v>92225.32</v>
      </c>
      <c r="V11" s="13"/>
      <c r="XDQ11" s="18"/>
      <c r="XDR11" s="18"/>
      <c r="XDS11" s="18"/>
      <c r="XDT11" s="18"/>
      <c r="XDU11" s="18"/>
      <c r="XDV11" s="18"/>
      <c r="XDW11" s="18"/>
      <c r="XDX11" s="18"/>
      <c r="XDY11" s="18"/>
      <c r="XDZ11" s="18"/>
    </row>
    <row r="12" s="3" customFormat="1" ht="27" customHeight="1" spans="1:16354">
      <c r="A12" s="8">
        <v>45786</v>
      </c>
      <c r="B12" s="9"/>
      <c r="C12" s="9"/>
      <c r="D12" s="9"/>
      <c r="E12" s="9"/>
      <c r="F12" s="9"/>
      <c r="G12" s="9"/>
      <c r="H12" s="9"/>
      <c r="I12" s="9"/>
      <c r="J12" s="9"/>
      <c r="K12" s="9">
        <v>6967.56</v>
      </c>
      <c r="L12" s="9"/>
      <c r="M12" s="9"/>
      <c r="N12" s="9"/>
      <c r="O12" s="9"/>
      <c r="P12" s="9"/>
      <c r="Q12" s="9"/>
      <c r="R12" s="9"/>
      <c r="S12" s="12">
        <f t="shared" si="0"/>
        <v>6967.56</v>
      </c>
      <c r="T12" s="13">
        <v>2767</v>
      </c>
      <c r="U12" s="9">
        <f t="shared" si="1"/>
        <v>96425.88</v>
      </c>
      <c r="V12" s="13"/>
      <c r="XDQ12" s="18"/>
      <c r="XDR12" s="18"/>
      <c r="XDS12" s="18"/>
      <c r="XDT12" s="18"/>
      <c r="XDU12" s="18"/>
      <c r="XDV12" s="18"/>
      <c r="XDW12" s="18"/>
      <c r="XDX12" s="18"/>
      <c r="XDY12" s="18"/>
      <c r="XDZ12" s="18"/>
    </row>
    <row r="13" s="3" customFormat="1" ht="27" customHeight="1" spans="1:16354">
      <c r="A13" s="8">
        <v>45787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2">
        <f t="shared" si="0"/>
        <v>0</v>
      </c>
      <c r="T13" s="13">
        <v>2605</v>
      </c>
      <c r="U13" s="9">
        <f t="shared" si="1"/>
        <v>93820.88</v>
      </c>
      <c r="V13" s="13"/>
      <c r="XDQ13" s="18"/>
      <c r="XDR13" s="18"/>
      <c r="XDS13" s="18"/>
      <c r="XDT13" s="18"/>
      <c r="XDU13" s="18"/>
      <c r="XDV13" s="18"/>
      <c r="XDW13" s="18"/>
      <c r="XDX13" s="18"/>
      <c r="XDY13" s="18"/>
      <c r="XDZ13" s="18"/>
    </row>
    <row r="14" s="3" customFormat="1" ht="27" customHeight="1" spans="1:16354">
      <c r="A14" s="8">
        <v>45788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2">
        <f t="shared" si="0"/>
        <v>0</v>
      </c>
      <c r="T14" s="13">
        <v>2703</v>
      </c>
      <c r="U14" s="9">
        <f t="shared" si="1"/>
        <v>91117.88</v>
      </c>
      <c r="V14" s="13"/>
      <c r="XDQ14" s="18"/>
      <c r="XDR14" s="18"/>
      <c r="XDS14" s="18"/>
      <c r="XDT14" s="18"/>
      <c r="XDU14" s="18"/>
      <c r="XDV14" s="18"/>
      <c r="XDW14" s="18"/>
      <c r="XDX14" s="18"/>
      <c r="XDY14" s="18"/>
      <c r="XDZ14" s="18"/>
    </row>
    <row r="15" s="3" customFormat="1" ht="27" customHeight="1" spans="1:16354">
      <c r="A15" s="8">
        <v>45789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2">
        <f t="shared" si="0"/>
        <v>0</v>
      </c>
      <c r="T15" s="13">
        <v>2422</v>
      </c>
      <c r="U15" s="9">
        <f t="shared" si="1"/>
        <v>88695.88</v>
      </c>
      <c r="V15" s="13"/>
      <c r="XDQ15" s="18"/>
      <c r="XDR15" s="18"/>
      <c r="XDS15" s="18"/>
      <c r="XDT15" s="18"/>
      <c r="XDU15" s="18"/>
      <c r="XDV15" s="18"/>
      <c r="XDW15" s="18"/>
      <c r="XDX15" s="18"/>
      <c r="XDY15" s="18"/>
      <c r="XDZ15" s="18"/>
    </row>
    <row r="16" s="3" customFormat="1" ht="27" customHeight="1" spans="1:16354">
      <c r="A16" s="8">
        <v>45790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2">
        <f t="shared" si="0"/>
        <v>0</v>
      </c>
      <c r="T16" s="13">
        <v>2778</v>
      </c>
      <c r="U16" s="9">
        <f t="shared" si="1"/>
        <v>85917.88</v>
      </c>
      <c r="V16" s="13"/>
      <c r="XDQ16" s="18"/>
      <c r="XDR16" s="18"/>
      <c r="XDS16" s="18"/>
      <c r="XDT16" s="18"/>
      <c r="XDU16" s="18"/>
      <c r="XDV16" s="18"/>
      <c r="XDW16" s="18"/>
      <c r="XDX16" s="18"/>
      <c r="XDY16" s="18"/>
      <c r="XDZ16" s="18"/>
    </row>
    <row r="17" s="3" customFormat="1" ht="27" customHeight="1" spans="1:16354">
      <c r="A17" s="8">
        <v>45791</v>
      </c>
      <c r="B17" s="9"/>
      <c r="C17" s="9"/>
      <c r="D17" s="9"/>
      <c r="E17" s="9"/>
      <c r="F17" s="9"/>
      <c r="G17" s="9"/>
      <c r="H17" s="9"/>
      <c r="I17" s="9"/>
      <c r="J17" s="10"/>
      <c r="K17" s="9"/>
      <c r="L17" s="9"/>
      <c r="M17" s="9"/>
      <c r="N17" s="9"/>
      <c r="O17" s="9"/>
      <c r="P17" s="9"/>
      <c r="Q17" s="9"/>
      <c r="R17" s="9"/>
      <c r="S17" s="12">
        <f t="shared" si="0"/>
        <v>0</v>
      </c>
      <c r="T17" s="13">
        <v>1922</v>
      </c>
      <c r="U17" s="9">
        <f t="shared" si="1"/>
        <v>83995.88</v>
      </c>
      <c r="V17" s="13"/>
      <c r="XDQ17" s="18"/>
      <c r="XDR17" s="18"/>
      <c r="XDS17" s="18"/>
      <c r="XDT17" s="18"/>
      <c r="XDU17" s="18"/>
      <c r="XDV17" s="18"/>
      <c r="XDW17" s="18"/>
      <c r="XDX17" s="18"/>
      <c r="XDY17" s="18"/>
      <c r="XDZ17" s="18"/>
    </row>
    <row r="18" s="3" customFormat="1" ht="27" customHeight="1" spans="1:16354">
      <c r="A18" s="8">
        <v>45792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2">
        <f t="shared" si="0"/>
        <v>0</v>
      </c>
      <c r="T18" s="13">
        <v>2342</v>
      </c>
      <c r="U18" s="9">
        <f t="shared" si="1"/>
        <v>81653.88</v>
      </c>
      <c r="V18" s="13"/>
      <c r="XDQ18" s="18"/>
      <c r="XDR18" s="18"/>
      <c r="XDS18" s="18"/>
      <c r="XDT18" s="18"/>
      <c r="XDU18" s="18"/>
      <c r="XDV18" s="18"/>
      <c r="XDW18" s="18"/>
      <c r="XDX18" s="18"/>
      <c r="XDY18" s="18"/>
      <c r="XDZ18" s="18"/>
    </row>
    <row r="19" s="3" customFormat="1" ht="27" customHeight="1" spans="1:16354">
      <c r="A19" s="8">
        <v>45793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>
        <v>6214.1</v>
      </c>
      <c r="P19" s="9">
        <v>514.38</v>
      </c>
      <c r="Q19" s="9"/>
      <c r="R19" s="9"/>
      <c r="S19" s="12">
        <f t="shared" si="0"/>
        <v>6728.48</v>
      </c>
      <c r="T19" s="13">
        <v>2360</v>
      </c>
      <c r="U19" s="9">
        <f t="shared" si="1"/>
        <v>86022.36</v>
      </c>
      <c r="V19" s="13"/>
      <c r="XDQ19" s="18"/>
      <c r="XDR19" s="18"/>
      <c r="XDS19" s="18"/>
      <c r="XDT19" s="18"/>
      <c r="XDU19" s="18"/>
      <c r="XDV19" s="18"/>
      <c r="XDW19" s="18"/>
      <c r="XDX19" s="18"/>
      <c r="XDY19" s="18"/>
      <c r="XDZ19" s="18"/>
    </row>
    <row r="20" s="3" customFormat="1" ht="27" customHeight="1" spans="1:16354">
      <c r="A20" s="8">
        <v>45794</v>
      </c>
      <c r="B20" s="10"/>
      <c r="C20" s="10"/>
      <c r="D20" s="10"/>
      <c r="E20" s="10"/>
      <c r="F20" s="10"/>
      <c r="G20" s="10"/>
      <c r="H20" s="10"/>
      <c r="I20" s="10"/>
      <c r="J20" s="10"/>
      <c r="K20" s="9">
        <v>7000.34</v>
      </c>
      <c r="L20" s="9"/>
      <c r="M20" s="9"/>
      <c r="N20" s="9"/>
      <c r="O20" s="9"/>
      <c r="P20" s="9"/>
      <c r="Q20" s="9"/>
      <c r="R20" s="9"/>
      <c r="S20" s="12">
        <f t="shared" si="0"/>
        <v>7000.34</v>
      </c>
      <c r="T20" s="13">
        <v>2192</v>
      </c>
      <c r="U20" s="9">
        <f t="shared" si="1"/>
        <v>90830.7</v>
      </c>
      <c r="V20" s="13"/>
      <c r="XDQ20" s="18"/>
      <c r="XDR20" s="18"/>
      <c r="XDS20" s="18"/>
      <c r="XDT20" s="18"/>
      <c r="XDU20" s="18"/>
      <c r="XDV20" s="18"/>
      <c r="XDW20" s="18"/>
      <c r="XDX20" s="18"/>
      <c r="XDY20" s="18"/>
      <c r="XDZ20" s="18"/>
    </row>
    <row r="21" s="3" customFormat="1" ht="27" customHeight="1" spans="1:16354">
      <c r="A21" s="8">
        <v>45795</v>
      </c>
      <c r="B21" s="9"/>
      <c r="C21" s="9"/>
      <c r="D21" s="9"/>
      <c r="E21" s="9"/>
      <c r="F21" s="9"/>
      <c r="G21" s="9"/>
      <c r="H21" s="9"/>
      <c r="I21" s="9"/>
      <c r="J21" s="9"/>
      <c r="K21" s="9">
        <v>5613.7</v>
      </c>
      <c r="L21" s="9"/>
      <c r="M21" s="9"/>
      <c r="N21" s="9"/>
      <c r="O21" s="9"/>
      <c r="P21" s="9"/>
      <c r="Q21" s="9"/>
      <c r="R21" s="9"/>
      <c r="S21" s="12">
        <f t="shared" si="0"/>
        <v>5613.7</v>
      </c>
      <c r="T21" s="13">
        <v>1848</v>
      </c>
      <c r="U21" s="9">
        <f t="shared" si="1"/>
        <v>94596.4</v>
      </c>
      <c r="V21" s="13"/>
      <c r="XDQ21" s="18"/>
      <c r="XDR21" s="18"/>
      <c r="XDS21" s="18"/>
      <c r="XDT21" s="18"/>
      <c r="XDU21" s="18"/>
      <c r="XDV21" s="18"/>
      <c r="XDW21" s="18"/>
      <c r="XDX21" s="18"/>
      <c r="XDY21" s="18"/>
      <c r="XDZ21" s="18"/>
    </row>
    <row r="22" s="3" customFormat="1" ht="27" customHeight="1" spans="1:16354">
      <c r="A22" s="8">
        <v>45796</v>
      </c>
      <c r="B22" s="9"/>
      <c r="C22" s="9"/>
      <c r="D22" s="9"/>
      <c r="E22" s="9"/>
      <c r="F22" s="9"/>
      <c r="G22" s="9"/>
      <c r="H22" s="9"/>
      <c r="I22" s="9"/>
      <c r="J22" s="9"/>
      <c r="K22" s="9">
        <v>4453.66</v>
      </c>
      <c r="L22" s="9">
        <v>3040.66</v>
      </c>
      <c r="M22" s="9"/>
      <c r="N22" s="9"/>
      <c r="O22" s="9"/>
      <c r="P22" s="9"/>
      <c r="Q22" s="9"/>
      <c r="R22" s="9"/>
      <c r="S22" s="12">
        <f t="shared" si="0"/>
        <v>7494.32</v>
      </c>
      <c r="T22" s="13">
        <v>2323</v>
      </c>
      <c r="U22" s="9">
        <f t="shared" si="1"/>
        <v>99767.72</v>
      </c>
      <c r="V22" s="13"/>
      <c r="XDQ22" s="18"/>
      <c r="XDR22" s="18"/>
      <c r="XDS22" s="18"/>
      <c r="XDT22" s="18"/>
      <c r="XDU22" s="18"/>
      <c r="XDV22" s="18"/>
      <c r="XDW22" s="18"/>
      <c r="XDX22" s="18"/>
      <c r="XDY22" s="18"/>
      <c r="XDZ22" s="18"/>
    </row>
    <row r="23" s="3" customFormat="1" ht="27" customHeight="1" spans="1:16354">
      <c r="A23" s="8">
        <v>45797</v>
      </c>
      <c r="B23" s="9"/>
      <c r="C23" s="9"/>
      <c r="D23" s="9"/>
      <c r="E23" s="9"/>
      <c r="F23" s="9"/>
      <c r="G23" s="9"/>
      <c r="H23" s="9"/>
      <c r="I23" s="9">
        <v>1368.36</v>
      </c>
      <c r="J23" s="9">
        <v>3571.24</v>
      </c>
      <c r="K23" s="9"/>
      <c r="L23" s="9"/>
      <c r="M23" s="9"/>
      <c r="N23" s="9"/>
      <c r="O23" s="9"/>
      <c r="P23" s="9"/>
      <c r="Q23" s="9"/>
      <c r="R23" s="9"/>
      <c r="S23" s="12">
        <f t="shared" si="0"/>
        <v>4939.6</v>
      </c>
      <c r="T23" s="13">
        <v>2539</v>
      </c>
      <c r="U23" s="9">
        <f t="shared" si="1"/>
        <v>102168.32</v>
      </c>
      <c r="V23" s="13"/>
      <c r="XDQ23" s="18"/>
      <c r="XDR23" s="18"/>
      <c r="XDS23" s="18"/>
      <c r="XDT23" s="18"/>
      <c r="XDU23" s="18"/>
      <c r="XDV23" s="18"/>
      <c r="XDW23" s="18"/>
      <c r="XDX23" s="18"/>
      <c r="XDY23" s="18"/>
      <c r="XDZ23" s="18"/>
    </row>
    <row r="24" s="3" customFormat="1" ht="27" customHeight="1" spans="1:16354">
      <c r="A24" s="8">
        <v>45798</v>
      </c>
      <c r="B24" s="9">
        <v>759.5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>
        <v>6584.24</v>
      </c>
      <c r="Q24" s="9"/>
      <c r="R24" s="9"/>
      <c r="S24" s="12">
        <f t="shared" si="0"/>
        <v>7343.74</v>
      </c>
      <c r="T24" s="13">
        <v>2411</v>
      </c>
      <c r="U24" s="9">
        <f t="shared" si="1"/>
        <v>107101.06</v>
      </c>
      <c r="V24" s="13"/>
      <c r="XDQ24" s="18"/>
      <c r="XDR24" s="18"/>
      <c r="XDS24" s="18"/>
      <c r="XDT24" s="18"/>
      <c r="XDU24" s="18"/>
      <c r="XDV24" s="18"/>
      <c r="XDW24" s="18"/>
      <c r="XDX24" s="18"/>
      <c r="XDY24" s="18"/>
      <c r="XDZ24" s="18"/>
    </row>
    <row r="25" s="3" customFormat="1" ht="27" customHeight="1" spans="1:16354">
      <c r="A25" s="8">
        <v>45799</v>
      </c>
      <c r="B25" s="9">
        <v>943.66</v>
      </c>
      <c r="C25" s="9"/>
      <c r="D25" s="9"/>
      <c r="E25" s="9"/>
      <c r="F25" s="9"/>
      <c r="G25" s="9"/>
      <c r="H25" s="9"/>
      <c r="I25" s="9"/>
      <c r="J25" s="9"/>
      <c r="K25" s="9"/>
      <c r="L25" s="9">
        <v>6371.32</v>
      </c>
      <c r="M25" s="9"/>
      <c r="N25" s="9"/>
      <c r="O25" s="9"/>
      <c r="P25" s="9"/>
      <c r="Q25" s="9"/>
      <c r="R25" s="9"/>
      <c r="S25" s="12">
        <f t="shared" si="0"/>
        <v>7314.98</v>
      </c>
      <c r="T25" s="13">
        <v>3175</v>
      </c>
      <c r="U25" s="9">
        <f t="shared" si="1"/>
        <v>111241.04</v>
      </c>
      <c r="V25" s="13"/>
      <c r="XDQ25" s="18"/>
      <c r="XDR25" s="18"/>
      <c r="XDS25" s="18"/>
      <c r="XDT25" s="18"/>
      <c r="XDU25" s="18"/>
      <c r="XDV25" s="18"/>
      <c r="XDW25" s="18"/>
      <c r="XDX25" s="18"/>
      <c r="XDY25" s="18"/>
      <c r="XDZ25" s="18"/>
    </row>
    <row r="26" s="3" customFormat="1" ht="27" customHeight="1" spans="1:16354">
      <c r="A26" s="8">
        <v>45800</v>
      </c>
      <c r="B26" s="9">
        <v>740.68</v>
      </c>
      <c r="C26" s="9"/>
      <c r="D26" s="9"/>
      <c r="E26" s="9"/>
      <c r="F26" s="9"/>
      <c r="G26" s="9"/>
      <c r="H26" s="9"/>
      <c r="I26" s="9"/>
      <c r="J26" s="9"/>
      <c r="K26" s="9"/>
      <c r="L26" s="9">
        <v>2697.1</v>
      </c>
      <c r="M26" s="9">
        <v>3636.5</v>
      </c>
      <c r="N26" s="9"/>
      <c r="O26" s="9"/>
      <c r="P26" s="9"/>
      <c r="Q26" s="9"/>
      <c r="R26" s="9"/>
      <c r="S26" s="12">
        <f t="shared" si="0"/>
        <v>7074.28</v>
      </c>
      <c r="T26" s="13">
        <v>4681</v>
      </c>
      <c r="U26" s="9">
        <f t="shared" si="1"/>
        <v>113634.32</v>
      </c>
      <c r="V26" s="10"/>
      <c r="XDQ26" s="18"/>
      <c r="XDR26" s="18"/>
      <c r="XDS26" s="18"/>
      <c r="XDT26" s="18"/>
      <c r="XDU26" s="18"/>
      <c r="XDV26" s="18"/>
      <c r="XDW26" s="18"/>
      <c r="XDX26" s="18"/>
      <c r="XDY26" s="18"/>
      <c r="XDZ26" s="18"/>
    </row>
    <row r="27" s="3" customFormat="1" ht="27" customHeight="1" spans="1:16354">
      <c r="A27" s="8">
        <v>45801</v>
      </c>
      <c r="B27" s="9">
        <v>605.1</v>
      </c>
      <c r="C27" s="9"/>
      <c r="D27" s="9"/>
      <c r="E27" s="9"/>
      <c r="F27" s="9"/>
      <c r="G27" s="9"/>
      <c r="H27" s="9"/>
      <c r="I27" s="9"/>
      <c r="J27" s="9">
        <v>6119.18</v>
      </c>
      <c r="K27" s="9"/>
      <c r="L27" s="9"/>
      <c r="M27" s="9"/>
      <c r="N27" s="9"/>
      <c r="O27" s="9"/>
      <c r="P27" s="9"/>
      <c r="Q27" s="9"/>
      <c r="R27" s="9"/>
      <c r="S27" s="12">
        <f t="shared" si="0"/>
        <v>6724.28</v>
      </c>
      <c r="T27" s="13">
        <v>5280.5</v>
      </c>
      <c r="U27" s="9">
        <f t="shared" si="1"/>
        <v>115078.1</v>
      </c>
      <c r="V27" s="13"/>
      <c r="XDQ27" s="18"/>
      <c r="XDR27" s="18"/>
      <c r="XDS27" s="18"/>
      <c r="XDT27" s="18"/>
      <c r="XDU27" s="18"/>
      <c r="XDV27" s="18"/>
      <c r="XDW27" s="18"/>
      <c r="XDX27" s="18"/>
      <c r="XDY27" s="18"/>
      <c r="XDZ27" s="18"/>
    </row>
    <row r="28" s="3" customFormat="1" ht="27" customHeight="1" spans="1:16354">
      <c r="A28" s="8">
        <v>45802</v>
      </c>
      <c r="B28" s="9">
        <v>697.32</v>
      </c>
      <c r="C28" s="9"/>
      <c r="D28" s="9"/>
      <c r="E28" s="9"/>
      <c r="F28" s="9"/>
      <c r="G28" s="9"/>
      <c r="H28" s="9"/>
      <c r="I28" s="9"/>
      <c r="J28" s="9"/>
      <c r="K28" s="9"/>
      <c r="L28" s="9">
        <v>8640.64</v>
      </c>
      <c r="M28" s="9"/>
      <c r="N28" s="10"/>
      <c r="O28" s="9"/>
      <c r="P28" s="9"/>
      <c r="Q28" s="9"/>
      <c r="R28" s="9"/>
      <c r="S28" s="12">
        <f t="shared" si="0"/>
        <v>9337.96</v>
      </c>
      <c r="T28" s="13">
        <v>5177.5</v>
      </c>
      <c r="U28" s="9">
        <f t="shared" si="1"/>
        <v>119238.56</v>
      </c>
      <c r="V28" s="13"/>
      <c r="XDQ28" s="18"/>
      <c r="XDR28" s="18"/>
      <c r="XDS28" s="18"/>
      <c r="XDT28" s="18"/>
      <c r="XDU28" s="18"/>
      <c r="XDV28" s="18"/>
      <c r="XDW28" s="18"/>
      <c r="XDX28" s="18"/>
      <c r="XDY28" s="18"/>
      <c r="XDZ28" s="18"/>
    </row>
    <row r="29" s="3" customFormat="1" ht="27" customHeight="1" spans="1:16354">
      <c r="A29" s="8">
        <v>45803</v>
      </c>
      <c r="B29" s="9">
        <v>302.86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>
        <v>6362.66</v>
      </c>
      <c r="Q29" s="9"/>
      <c r="R29" s="9"/>
      <c r="S29" s="12">
        <f t="shared" si="0"/>
        <v>6665.52</v>
      </c>
      <c r="T29" s="13">
        <v>5896</v>
      </c>
      <c r="U29" s="9">
        <f t="shared" si="1"/>
        <v>120008.08</v>
      </c>
      <c r="V29" s="13"/>
      <c r="XDQ29" s="18"/>
      <c r="XDR29" s="18"/>
      <c r="XDS29" s="18"/>
      <c r="XDT29" s="18"/>
      <c r="XDU29" s="18"/>
      <c r="XDV29" s="18"/>
      <c r="XDW29" s="18"/>
      <c r="XDX29" s="18"/>
      <c r="XDY29" s="18"/>
      <c r="XDZ29" s="18"/>
    </row>
    <row r="30" s="3" customFormat="1" ht="27" customHeight="1" spans="1:16354">
      <c r="A30" s="8">
        <v>45804</v>
      </c>
      <c r="B30" s="9">
        <v>303.16</v>
      </c>
      <c r="C30" s="9"/>
      <c r="D30" s="9"/>
      <c r="E30" s="9"/>
      <c r="F30" s="9"/>
      <c r="G30" s="9"/>
      <c r="H30" s="9"/>
      <c r="I30" s="9"/>
      <c r="J30" s="9">
        <v>6632.68</v>
      </c>
      <c r="K30" s="9"/>
      <c r="L30" s="9"/>
      <c r="M30" s="9"/>
      <c r="N30" s="9"/>
      <c r="O30" s="9"/>
      <c r="P30" s="9"/>
      <c r="Q30" s="9"/>
      <c r="R30" s="9"/>
      <c r="S30" s="12">
        <f t="shared" si="0"/>
        <v>6935.84</v>
      </c>
      <c r="T30" s="13">
        <v>5238</v>
      </c>
      <c r="U30" s="9">
        <f t="shared" si="1"/>
        <v>121705.92</v>
      </c>
      <c r="V30" s="13"/>
      <c r="XDQ30" s="18"/>
      <c r="XDR30" s="18"/>
      <c r="XDS30" s="18"/>
      <c r="XDT30" s="18"/>
      <c r="XDU30" s="18"/>
      <c r="XDV30" s="18"/>
      <c r="XDW30" s="18"/>
      <c r="XDX30" s="18"/>
      <c r="XDY30" s="18"/>
      <c r="XDZ30" s="18"/>
    </row>
    <row r="31" s="3" customFormat="1" ht="27" customHeight="1" spans="1:16354">
      <c r="A31" s="8">
        <v>45805</v>
      </c>
      <c r="B31" s="9">
        <v>531.04</v>
      </c>
      <c r="C31" s="9"/>
      <c r="D31" s="9"/>
      <c r="E31" s="9"/>
      <c r="F31" s="9"/>
      <c r="G31" s="9"/>
      <c r="H31" s="9"/>
      <c r="I31" s="9"/>
      <c r="J31" s="9"/>
      <c r="K31" s="9"/>
      <c r="L31" s="9">
        <v>7392.08</v>
      </c>
      <c r="M31" s="9"/>
      <c r="N31" s="9"/>
      <c r="O31" s="9"/>
      <c r="P31" s="9"/>
      <c r="Q31" s="9"/>
      <c r="R31" s="9"/>
      <c r="S31" s="12">
        <f t="shared" si="0"/>
        <v>7923.12</v>
      </c>
      <c r="T31" s="13">
        <v>2175</v>
      </c>
      <c r="U31" s="9">
        <f t="shared" si="1"/>
        <v>127454.04</v>
      </c>
      <c r="V31" s="13"/>
      <c r="XDQ31" s="18"/>
      <c r="XDR31" s="18"/>
      <c r="XDS31" s="18"/>
      <c r="XDT31" s="18"/>
      <c r="XDU31" s="18"/>
      <c r="XDV31" s="18"/>
      <c r="XDW31" s="18"/>
      <c r="XDX31" s="18"/>
      <c r="XDY31" s="18"/>
      <c r="XDZ31" s="18"/>
    </row>
    <row r="32" s="3" customFormat="1" ht="27" customHeight="1" spans="1:16354">
      <c r="A32" s="8">
        <v>45806</v>
      </c>
      <c r="B32" s="9"/>
      <c r="C32" s="9"/>
      <c r="D32" s="9">
        <v>2054.08</v>
      </c>
      <c r="E32" s="9"/>
      <c r="F32" s="9"/>
      <c r="G32" s="9"/>
      <c r="H32" s="9"/>
      <c r="I32" s="9"/>
      <c r="J32" s="9"/>
      <c r="K32" s="9"/>
      <c r="L32" s="9">
        <v>7621.62</v>
      </c>
      <c r="M32" s="9"/>
      <c r="N32" s="9"/>
      <c r="O32" s="9"/>
      <c r="P32" s="9"/>
      <c r="Q32" s="9"/>
      <c r="R32" s="9"/>
      <c r="S32" s="12">
        <f t="shared" si="0"/>
        <v>9675.7</v>
      </c>
      <c r="T32" s="13">
        <v>2439</v>
      </c>
      <c r="U32" s="9">
        <f t="shared" si="1"/>
        <v>134690.74</v>
      </c>
      <c r="V32" s="13"/>
      <c r="XDQ32" s="18"/>
      <c r="XDR32" s="18"/>
      <c r="XDS32" s="18"/>
      <c r="XDT32" s="18"/>
      <c r="XDU32" s="18"/>
      <c r="XDV32" s="18"/>
      <c r="XDW32" s="18"/>
      <c r="XDX32" s="18"/>
      <c r="XDY32" s="18"/>
      <c r="XDZ32" s="18"/>
    </row>
    <row r="33" s="3" customFormat="1" ht="26" customHeight="1" spans="1:16354">
      <c r="A33" s="8">
        <v>45807</v>
      </c>
      <c r="B33" s="9"/>
      <c r="C33" s="9"/>
      <c r="D33" s="9">
        <v>30.8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>
        <v>5950.44</v>
      </c>
      <c r="Q33" s="9"/>
      <c r="R33" s="9"/>
      <c r="S33" s="12">
        <f t="shared" si="0"/>
        <v>5981.24</v>
      </c>
      <c r="T33" s="13">
        <v>2511</v>
      </c>
      <c r="U33" s="9">
        <f t="shared" si="1"/>
        <v>138160.98</v>
      </c>
      <c r="V33" s="13"/>
      <c r="XDQ33" s="18"/>
      <c r="XDR33" s="18"/>
      <c r="XDS33" s="18"/>
      <c r="XDT33" s="18"/>
      <c r="XDU33" s="18"/>
      <c r="XDV33" s="18"/>
      <c r="XDW33" s="18"/>
      <c r="XDX33" s="18"/>
      <c r="XDY33" s="18"/>
      <c r="XDZ33" s="18"/>
    </row>
    <row r="34" s="3" customFormat="1" ht="27" customHeight="1" spans="1:16354">
      <c r="A34" s="8">
        <v>45808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2">
        <f t="shared" si="0"/>
        <v>0</v>
      </c>
      <c r="T34" s="13">
        <v>3776</v>
      </c>
      <c r="U34" s="9">
        <f t="shared" si="1"/>
        <v>134384.98</v>
      </c>
      <c r="V34" s="13"/>
      <c r="XDQ34" s="18"/>
      <c r="XDR34" s="18"/>
      <c r="XDS34" s="18"/>
      <c r="XDT34" s="18"/>
      <c r="XDU34" s="18"/>
      <c r="XDV34" s="18"/>
      <c r="XDW34" s="18"/>
      <c r="XDX34" s="18"/>
      <c r="XDY34" s="18"/>
      <c r="XDZ34" s="18"/>
    </row>
    <row r="35" s="3" customFormat="1" ht="27" customHeight="1" spans="1:16354">
      <c r="A35" s="11" t="s">
        <v>31</v>
      </c>
      <c r="B35" s="11">
        <f t="shared" ref="B35:T35" si="2">SUM(B4:B34)</f>
        <v>4883.32</v>
      </c>
      <c r="C35" s="11">
        <f t="shared" si="2"/>
        <v>0</v>
      </c>
      <c r="D35" s="11">
        <f t="shared" si="2"/>
        <v>2084.88</v>
      </c>
      <c r="E35" s="11">
        <f t="shared" si="2"/>
        <v>0</v>
      </c>
      <c r="F35" s="11">
        <f t="shared" si="2"/>
        <v>0</v>
      </c>
      <c r="G35" s="11">
        <f t="shared" si="2"/>
        <v>0</v>
      </c>
      <c r="H35" s="11">
        <f t="shared" si="2"/>
        <v>55.72</v>
      </c>
      <c r="I35" s="11">
        <f t="shared" si="2"/>
        <v>7359.58</v>
      </c>
      <c r="J35" s="11">
        <f t="shared" si="2"/>
        <v>16323.1</v>
      </c>
      <c r="K35" s="11">
        <f t="shared" si="2"/>
        <v>24035.26</v>
      </c>
      <c r="L35" s="11">
        <f t="shared" si="2"/>
        <v>35763.42</v>
      </c>
      <c r="M35" s="11">
        <f t="shared" si="2"/>
        <v>3636.5</v>
      </c>
      <c r="N35" s="11">
        <f t="shared" si="2"/>
        <v>0</v>
      </c>
      <c r="O35" s="11">
        <f t="shared" si="2"/>
        <v>6214.1</v>
      </c>
      <c r="P35" s="11">
        <f t="shared" si="2"/>
        <v>19411.72</v>
      </c>
      <c r="Q35" s="11">
        <f t="shared" si="2"/>
        <v>0</v>
      </c>
      <c r="R35" s="11">
        <f t="shared" si="2"/>
        <v>0</v>
      </c>
      <c r="S35" s="11">
        <f t="shared" si="2"/>
        <v>119767.6</v>
      </c>
      <c r="T35" s="11">
        <f t="shared" si="2"/>
        <v>90217</v>
      </c>
      <c r="U35" s="11">
        <f>U34-V34</f>
        <v>134384.98</v>
      </c>
      <c r="V35" s="13"/>
      <c r="XDQ35" s="18"/>
      <c r="XDR35" s="18"/>
      <c r="XDS35" s="18"/>
      <c r="XDT35" s="18"/>
      <c r="XDU35" s="18"/>
      <c r="XDV35" s="18"/>
      <c r="XDW35" s="18"/>
      <c r="XDX35" s="18"/>
      <c r="XDY35" s="18"/>
      <c r="XDZ35" s="18"/>
    </row>
    <row r="36" s="4" customFormat="1" ht="20" customHeight="1" spans="21:16374">
      <c r="U36" s="16">
        <f>'[1]5月'!$W$37-U34</f>
        <v>115941.33</v>
      </c>
      <c r="XER36" s="5"/>
      <c r="XES36" s="5"/>
      <c r="XET36" s="5"/>
    </row>
  </sheetData>
  <mergeCells count="9">
    <mergeCell ref="A1:V1"/>
    <mergeCell ref="B2:D2"/>
    <mergeCell ref="F2:J2"/>
    <mergeCell ref="K2:L2"/>
    <mergeCell ref="O2:P2"/>
    <mergeCell ref="Q2:R2"/>
    <mergeCell ref="A2:A3"/>
    <mergeCell ref="S2:S3"/>
    <mergeCell ref="T2:T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山西侯马日报表2025.05.xlsx" FileId="398204224805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2025-05-31T23:17:24Z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2052-12.1.0.21170</vt:lpwstr>
  </property>
  <property fmtid="{D5CDD505-2E9C-101B-9397-08002B2CF9AE}" pid="4" name="KSOReadingLayout">
    <vt:bool>true</vt:bool>
  </property>
</Properties>
</file>