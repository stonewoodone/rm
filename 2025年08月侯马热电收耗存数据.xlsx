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555" tabRatio="672"/>
  </bookViews>
  <sheets>
    <sheet name="2025.08" sheetId="2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<sst xmlns="http://schemas.openxmlformats.org/spreadsheetml/2006/main" count="32" uniqueCount="32">
  <si>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2025年8月侯马热电收耗存数据</t>
  </si>
  <si>
    <t>日期</t>
  </si>
  <si>
    <t>焦煤</t>
  </si>
  <si>
    <t>地方</t>
  </si>
  <si>
    <t>太原煤气化</t>
  </si>
  <si>
    <t>煤业集团</t>
  </si>
  <si>
    <t>忻州公司</t>
  </si>
  <si>
    <t>轩岗煤电</t>
  </si>
  <si>
    <t>朔州公司</t>
  </si>
  <si>
    <t>晋城公司</t>
  </si>
  <si>
    <t>合计来煤
（吨）</t>
  </si>
  <si>
    <t>皮带秤消耗（吨）</t>
  </si>
  <si>
    <t>库存（吨）</t>
  </si>
  <si>
    <t>备注</t>
  </si>
  <si>
    <t>杜家沟(G)
8-1</t>
  </si>
  <si>
    <t>雪坪(G)
8-1</t>
  </si>
  <si>
    <t>昊兴塬(G)
8-1</t>
  </si>
  <si>
    <t>三交河(G)
8-1</t>
  </si>
  <si>
    <t>富康源(G)
8-1</t>
  </si>
  <si>
    <t>炉峪口（T）
8-1</t>
  </si>
  <si>
    <t>龙泉（T）
7-1</t>
  </si>
  <si>
    <t>龙泉（T）
8-1</t>
  </si>
  <si>
    <t>北辛窑（T）5-1</t>
  </si>
  <si>
    <t>北辛窑（T）7-1</t>
  </si>
  <si>
    <t>圣厚源（T）</t>
  </si>
  <si>
    <t>梨园河（T）7-1</t>
  </si>
  <si>
    <t>梨园河（T）8-1</t>
  </si>
  <si>
    <t>莲盛（T）
7-1</t>
  </si>
  <si>
    <t>莲盛（T）
8-1</t>
  </si>
  <si>
    <t>盖州（G）</t>
  </si>
  <si>
    <t>野川（G）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</si>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</sst>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3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6"/>
      <name val="Microsoft YaHei"/>
      <charset val="134"/>
    </font>
    <font>
      <b/>
      <sz val="11"/>
      <name val="Microsoft YaHei"/>
      <charset val="134"/>
    </font>
    <font>
      <sz val="10"/>
      <color indexed="8"/>
      <name val="Microsoft YaHei"/>
      <charset val="134"/>
    </font>
    <font>
      <sz val="10"/>
      <name val="Microsoft YaHei"/>
      <charset val="134"/>
    </font>
    <font>
      <b/>
      <sz val="10"/>
      <name val="Microsoft YaHei"/>
      <charset val="134"/>
    </font>
    <font>
      <b/>
      <sz val="11"/>
      <color rgb="FF000000"/>
      <name val="Microsoft YaHei"/>
      <charset val="134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6" applyNumberFormat="0" applyAlignment="0" applyProtection="0">
      <alignment vertical="center"/>
    </xf>
    <xf numFmtId="0" fontId="21" fillId="4" borderId="7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5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4" fillId="0" borderId="0" xfId="0" applyNumberFormat="1" applyFont="1" applyFill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7" fontId="9" fillId="0" borderId="2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177" fontId="8" fillId="0" borderId="1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ET37"/>
  <sheetViews>
    <sheetView tabSelected="1" zoomScale="90" zoomScaleNormal="90" workbookViewId="0">
      <pane ySplit="3" topLeftCell="A4" activePane="bottomLeft" state="frozen"/>
      <selection/>
      <selection pane="bottomLeft" activeCell="V44" sqref="V44"/>
    </sheetView>
  </sheetViews>
  <sheetFormatPr defaultColWidth="9.64166666666667" defaultRowHeight="13.5"/>
  <cols>
    <col min="1" max="1" width="12.7666666666667" style="4" customWidth="1"/>
    <col min="2" max="3" width="11.8916666666667" style="4" customWidth="1"/>
    <col min="4" max="4" width="11.6583333333333" style="4" customWidth="1"/>
    <col min="5" max="5" width="11.8916666666667" style="4" hidden="1" customWidth="1"/>
    <col min="6" max="6" width="11.7166666666667" style="4" customWidth="1"/>
    <col min="7" max="7" width="11.8916666666667" style="4" hidden="1" customWidth="1"/>
    <col min="8" max="8" width="11.8916666666667" style="4" customWidth="1"/>
    <col min="9" max="9" width="11.7166666666667" style="4" customWidth="1"/>
    <col min="10" max="10" width="11.8916666666667" style="5" customWidth="1"/>
    <col min="11" max="11" width="11.6583333333333" style="5" customWidth="1"/>
    <col min="12" max="12" width="11.8916666666667" style="4" hidden="1" customWidth="1"/>
    <col min="13" max="14" width="12.0833333333333" style="4" customWidth="1"/>
    <col min="15" max="16" width="11.55" style="4" customWidth="1"/>
    <col min="17" max="17" width="13.3416666666667" style="4" hidden="1" customWidth="1"/>
    <col min="18" max="18" width="13.45" style="4" hidden="1" customWidth="1"/>
    <col min="19" max="19" width="13.45" style="4" customWidth="1"/>
    <col min="20" max="20" width="12.8583333333333" style="4" customWidth="1"/>
    <col min="21" max="21" width="14.8333333333333" style="4" customWidth="1"/>
    <col min="22" max="22" width="8.95" style="4" customWidth="1"/>
    <col min="23" max="23" width="11.6333333333333" style="4"/>
    <col min="24" max="16344" width="8.95" style="4"/>
    <col min="16345" max="16353" width="9.7" style="4"/>
    <col min="16354" max="16371" width="9.675" style="4"/>
    <col min="16372" max="16382" width="9.65" style="6"/>
    <col min="16383" max="16384" width="9.64166666666667" style="6"/>
  </cols>
  <sheetData>
    <row r="1" s="1" customFormat="1" ht="34" customHeight="1" spans="1:2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="2" customFormat="1" ht="30" customHeight="1" spans="1:16354">
      <c r="A2" s="8" t="s">
        <v>1</v>
      </c>
      <c r="B2" s="8" t="s">
        <v>2</v>
      </c>
      <c r="C2" s="8"/>
      <c r="D2" s="8"/>
      <c r="E2" s="8"/>
      <c r="F2" s="8" t="s">
        <v>3</v>
      </c>
      <c r="G2" s="8" t="s">
        <v>4</v>
      </c>
      <c r="H2" s="8"/>
      <c r="I2" s="8"/>
      <c r="J2" s="8" t="s">
        <v>5</v>
      </c>
      <c r="K2" s="8"/>
      <c r="L2" s="8" t="s">
        <v>6</v>
      </c>
      <c r="M2" s="8" t="s">
        <v>7</v>
      </c>
      <c r="N2" s="8"/>
      <c r="O2" s="8" t="s">
        <v>8</v>
      </c>
      <c r="P2" s="8"/>
      <c r="Q2" s="8" t="s">
        <v>9</v>
      </c>
      <c r="R2" s="8"/>
      <c r="S2" s="8" t="s">
        <v>10</v>
      </c>
      <c r="T2" s="8" t="s">
        <v>11</v>
      </c>
      <c r="U2" s="12" t="s">
        <v>12</v>
      </c>
      <c r="V2" s="12" t="s">
        <v>13</v>
      </c>
      <c r="XDQ2" s="18"/>
      <c r="XDR2" s="18"/>
      <c r="XDS2" s="18"/>
      <c r="XDT2" s="18"/>
      <c r="XDU2" s="18"/>
      <c r="XDV2" s="18"/>
      <c r="XDW2" s="18"/>
      <c r="XDX2" s="18"/>
      <c r="XDY2" s="18"/>
      <c r="XDZ2" s="18"/>
    </row>
    <row r="3" s="2" customFormat="1" ht="39" customHeight="1" spans="1:16354">
      <c r="A3" s="8"/>
      <c r="B3" s="8" t="s">
        <v>14</v>
      </c>
      <c r="C3" s="8" t="s">
        <v>15</v>
      </c>
      <c r="D3" s="8" t="s">
        <v>16</v>
      </c>
      <c r="E3" s="8" t="s">
        <v>17</v>
      </c>
      <c r="F3" s="8" t="s">
        <v>18</v>
      </c>
      <c r="G3" s="8" t="s">
        <v>19</v>
      </c>
      <c r="H3" s="8" t="s">
        <v>20</v>
      </c>
      <c r="I3" s="8" t="s">
        <v>21</v>
      </c>
      <c r="J3" s="8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 t="s">
        <v>27</v>
      </c>
      <c r="P3" s="8" t="s">
        <v>28</v>
      </c>
      <c r="Q3" s="8" t="s">
        <v>29</v>
      </c>
      <c r="R3" s="8" t="s">
        <v>30</v>
      </c>
      <c r="S3" s="8"/>
      <c r="T3" s="8"/>
      <c r="U3" s="13">
        <v>117717.096</v>
      </c>
      <c r="V3" s="12"/>
      <c r="XDQ3" s="18"/>
      <c r="XDR3" s="18"/>
      <c r="XDS3" s="18"/>
      <c r="XDT3" s="18"/>
      <c r="XDU3" s="18"/>
      <c r="XDV3" s="18"/>
      <c r="XDW3" s="18"/>
      <c r="XDX3" s="18"/>
      <c r="XDY3" s="18"/>
      <c r="XDZ3" s="18"/>
    </row>
    <row r="4" s="3" customFormat="1" ht="27" customHeight="1" spans="1:16354">
      <c r="A4" s="9">
        <v>45870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>
        <f t="shared" ref="S4:S34" si="0">SUM(B4:R4)</f>
        <v>0</v>
      </c>
      <c r="T4" s="14">
        <v>4544</v>
      </c>
      <c r="U4" s="15">
        <f t="shared" ref="U4:U34" si="1">U3+S4-T4</f>
        <v>113173.096</v>
      </c>
      <c r="V4" s="14"/>
      <c r="XDQ4" s="19"/>
      <c r="XDR4" s="19"/>
      <c r="XDS4" s="19"/>
      <c r="XDT4" s="19"/>
      <c r="XDU4" s="19"/>
      <c r="XDV4" s="19"/>
      <c r="XDW4" s="19"/>
      <c r="XDX4" s="19"/>
      <c r="XDY4" s="19"/>
      <c r="XDZ4" s="19"/>
    </row>
    <row r="5" s="3" customFormat="1" ht="27" customHeight="1" spans="1:16354">
      <c r="A5" s="9">
        <v>45871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>
        <f t="shared" si="0"/>
        <v>0</v>
      </c>
      <c r="T5" s="14">
        <v>5703</v>
      </c>
      <c r="U5" s="15">
        <f t="shared" si="1"/>
        <v>107470.096</v>
      </c>
      <c r="V5" s="14"/>
      <c r="XDQ5" s="19"/>
      <c r="XDR5" s="19"/>
      <c r="XDS5" s="19"/>
      <c r="XDT5" s="19"/>
      <c r="XDU5" s="19"/>
      <c r="XDV5" s="19"/>
      <c r="XDW5" s="19"/>
      <c r="XDX5" s="19"/>
      <c r="XDY5" s="19"/>
      <c r="XDZ5" s="19"/>
    </row>
    <row r="6" s="3" customFormat="1" ht="27" customHeight="1" spans="1:16354">
      <c r="A6" s="9">
        <v>45872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>
        <f t="shared" si="0"/>
        <v>0</v>
      </c>
      <c r="T6" s="14">
        <v>5230</v>
      </c>
      <c r="U6" s="15">
        <f t="shared" si="1"/>
        <v>102240.096</v>
      </c>
      <c r="V6" s="14"/>
      <c r="XDQ6" s="19"/>
      <c r="XDR6" s="19"/>
      <c r="XDS6" s="19"/>
      <c r="XDT6" s="19"/>
      <c r="XDU6" s="19"/>
      <c r="XDV6" s="19"/>
      <c r="XDW6" s="19"/>
      <c r="XDX6" s="19"/>
      <c r="XDY6" s="19"/>
      <c r="XDZ6" s="19"/>
    </row>
    <row r="7" s="3" customFormat="1" ht="27" customHeight="1" spans="1:16354">
      <c r="A7" s="9">
        <v>45873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>
        <f t="shared" si="0"/>
        <v>0</v>
      </c>
      <c r="T7" s="14">
        <v>6579</v>
      </c>
      <c r="U7" s="15">
        <f t="shared" si="1"/>
        <v>95661.096</v>
      </c>
      <c r="V7" s="14"/>
      <c r="XDQ7" s="19"/>
      <c r="XDR7" s="19"/>
      <c r="XDS7" s="19"/>
      <c r="XDT7" s="19"/>
      <c r="XDU7" s="19"/>
      <c r="XDV7" s="19"/>
      <c r="XDW7" s="19"/>
      <c r="XDX7" s="19"/>
      <c r="XDY7" s="19"/>
      <c r="XDZ7" s="19"/>
    </row>
    <row r="8" s="3" customFormat="1" ht="27" customHeight="1" spans="1:16354">
      <c r="A8" s="9">
        <v>45874</v>
      </c>
      <c r="B8" s="10"/>
      <c r="C8" s="10">
        <v>306</v>
      </c>
      <c r="D8" s="10">
        <v>245.56</v>
      </c>
      <c r="E8" s="10"/>
      <c r="F8" s="10"/>
      <c r="G8" s="10"/>
      <c r="H8" s="10"/>
      <c r="I8" s="10"/>
      <c r="J8" s="10"/>
      <c r="K8" s="10"/>
      <c r="L8" s="10"/>
      <c r="M8" s="10">
        <v>7085.32</v>
      </c>
      <c r="N8" s="10"/>
      <c r="O8" s="10"/>
      <c r="P8" s="10"/>
      <c r="Q8" s="10"/>
      <c r="R8" s="10"/>
      <c r="S8" s="10">
        <f t="shared" si="0"/>
        <v>7636.88</v>
      </c>
      <c r="T8" s="14">
        <v>5531</v>
      </c>
      <c r="U8" s="15">
        <f t="shared" si="1"/>
        <v>97766.976</v>
      </c>
      <c r="V8" s="14"/>
      <c r="XDQ8" s="19"/>
      <c r="XDR8" s="19"/>
      <c r="XDS8" s="19"/>
      <c r="XDT8" s="19"/>
      <c r="XDU8" s="19"/>
      <c r="XDV8" s="19"/>
      <c r="XDW8" s="19"/>
      <c r="XDX8" s="19"/>
      <c r="XDY8" s="19"/>
      <c r="XDZ8" s="19"/>
    </row>
    <row r="9" s="3" customFormat="1" ht="27" customHeight="1" spans="1:16354">
      <c r="A9" s="9">
        <v>45875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>
        <v>6048.04</v>
      </c>
      <c r="P9" s="10"/>
      <c r="Q9" s="10"/>
      <c r="R9" s="10"/>
      <c r="S9" s="10">
        <f t="shared" si="0"/>
        <v>6048.04</v>
      </c>
      <c r="T9" s="14">
        <v>4654</v>
      </c>
      <c r="U9" s="15">
        <f t="shared" si="1"/>
        <v>99161.016</v>
      </c>
      <c r="V9" s="14"/>
      <c r="XDQ9" s="19"/>
      <c r="XDR9" s="19"/>
      <c r="XDS9" s="19"/>
      <c r="XDT9" s="19"/>
      <c r="XDU9" s="19"/>
      <c r="XDV9" s="19"/>
      <c r="XDW9" s="19"/>
      <c r="XDX9" s="19"/>
      <c r="XDY9" s="19"/>
      <c r="XDZ9" s="19"/>
    </row>
    <row r="10" s="3" customFormat="1" ht="27" customHeight="1" spans="1:16354">
      <c r="A10" s="9">
        <v>45876</v>
      </c>
      <c r="B10" s="10"/>
      <c r="C10" s="10"/>
      <c r="D10" s="10">
        <v>307.86</v>
      </c>
      <c r="E10" s="10"/>
      <c r="F10" s="10"/>
      <c r="G10" s="10"/>
      <c r="H10" s="10"/>
      <c r="I10" s="10"/>
      <c r="J10" s="10"/>
      <c r="K10" s="10">
        <v>6207.3</v>
      </c>
      <c r="L10" s="10"/>
      <c r="M10" s="10"/>
      <c r="N10" s="10"/>
      <c r="O10" s="10">
        <v>1070.18</v>
      </c>
      <c r="P10" s="10"/>
      <c r="Q10" s="10"/>
      <c r="R10" s="10"/>
      <c r="S10" s="10">
        <f t="shared" si="0"/>
        <v>7585.34</v>
      </c>
      <c r="T10" s="14">
        <v>4636</v>
      </c>
      <c r="U10" s="15">
        <f t="shared" si="1"/>
        <v>102110.356</v>
      </c>
      <c r="V10" s="14"/>
      <c r="XDQ10" s="19"/>
      <c r="XDR10" s="19"/>
      <c r="XDS10" s="19"/>
      <c r="XDT10" s="19"/>
      <c r="XDU10" s="19"/>
      <c r="XDV10" s="19"/>
      <c r="XDW10" s="19"/>
      <c r="XDX10" s="19"/>
      <c r="XDY10" s="19"/>
      <c r="XDZ10" s="19"/>
    </row>
    <row r="11" s="3" customFormat="1" ht="27" customHeight="1" spans="1:16354">
      <c r="A11" s="9">
        <v>45877</v>
      </c>
      <c r="B11" s="10"/>
      <c r="C11" s="10">
        <v>308.78</v>
      </c>
      <c r="D11" s="10"/>
      <c r="E11" s="10"/>
      <c r="F11" s="10"/>
      <c r="G11" s="10"/>
      <c r="H11" s="10"/>
      <c r="I11" s="10"/>
      <c r="J11" s="10"/>
      <c r="K11" s="10"/>
      <c r="L11" s="10"/>
      <c r="M11" s="10">
        <v>7693.38</v>
      </c>
      <c r="N11" s="10"/>
      <c r="O11" s="10"/>
      <c r="P11" s="10"/>
      <c r="Q11" s="10"/>
      <c r="R11" s="10"/>
      <c r="S11" s="10">
        <f t="shared" si="0"/>
        <v>8002.16</v>
      </c>
      <c r="T11" s="14">
        <v>4753</v>
      </c>
      <c r="U11" s="15">
        <f t="shared" si="1"/>
        <v>105359.516</v>
      </c>
      <c r="V11" s="14"/>
      <c r="XDQ11" s="19"/>
      <c r="XDR11" s="19"/>
      <c r="XDS11" s="19"/>
      <c r="XDT11" s="19"/>
      <c r="XDU11" s="19"/>
      <c r="XDV11" s="19"/>
      <c r="XDW11" s="19"/>
      <c r="XDX11" s="19"/>
      <c r="XDY11" s="19"/>
      <c r="XDZ11" s="19"/>
    </row>
    <row r="12" s="3" customFormat="1" ht="27" customHeight="1" spans="1:16354">
      <c r="A12" s="9">
        <v>45878</v>
      </c>
      <c r="B12" s="10"/>
      <c r="C12" s="10"/>
      <c r="D12" s="10"/>
      <c r="E12" s="10"/>
      <c r="F12" s="10"/>
      <c r="G12" s="10"/>
      <c r="H12" s="10"/>
      <c r="I12" s="10"/>
      <c r="J12" s="10"/>
      <c r="K12" s="10">
        <v>8036.56</v>
      </c>
      <c r="L12" s="10"/>
      <c r="M12" s="10"/>
      <c r="N12" s="10"/>
      <c r="O12" s="10"/>
      <c r="P12" s="10"/>
      <c r="Q12" s="10"/>
      <c r="R12" s="10"/>
      <c r="S12" s="10">
        <f t="shared" si="0"/>
        <v>8036.56</v>
      </c>
      <c r="T12" s="14">
        <v>5138</v>
      </c>
      <c r="U12" s="15">
        <f t="shared" si="1"/>
        <v>108258.076</v>
      </c>
      <c r="V12" s="14"/>
      <c r="XDQ12" s="19"/>
      <c r="XDR12" s="19"/>
      <c r="XDS12" s="19"/>
      <c r="XDT12" s="19"/>
      <c r="XDU12" s="19"/>
      <c r="XDV12" s="19"/>
      <c r="XDW12" s="19"/>
      <c r="XDX12" s="19"/>
      <c r="XDY12" s="19"/>
      <c r="XDZ12" s="19"/>
    </row>
    <row r="13" s="3" customFormat="1" ht="27" customHeight="1" spans="1:16354">
      <c r="A13" s="9">
        <v>45879</v>
      </c>
      <c r="B13" s="10">
        <v>400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>
        <v>7901.42</v>
      </c>
      <c r="N13" s="10"/>
      <c r="O13" s="10"/>
      <c r="P13" s="10"/>
      <c r="Q13" s="10"/>
      <c r="R13" s="10"/>
      <c r="S13" s="10">
        <f t="shared" si="0"/>
        <v>8301.42</v>
      </c>
      <c r="T13" s="14">
        <v>6034</v>
      </c>
      <c r="U13" s="15">
        <f t="shared" si="1"/>
        <v>110525.496</v>
      </c>
      <c r="V13" s="14"/>
      <c r="XDQ13" s="19"/>
      <c r="XDR13" s="19"/>
      <c r="XDS13" s="19"/>
      <c r="XDT13" s="19"/>
      <c r="XDU13" s="19"/>
      <c r="XDV13" s="19"/>
      <c r="XDW13" s="19"/>
      <c r="XDX13" s="19"/>
      <c r="XDY13" s="19"/>
      <c r="XDZ13" s="19"/>
    </row>
    <row r="14" s="3" customFormat="1" ht="27" customHeight="1" spans="1:16354">
      <c r="A14" s="9">
        <v>45880</v>
      </c>
      <c r="B14" s="10">
        <v>302.92</v>
      </c>
      <c r="C14" s="10">
        <v>395.22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>
        <v>9516.48</v>
      </c>
      <c r="O14" s="10"/>
      <c r="P14" s="10"/>
      <c r="Q14" s="10"/>
      <c r="R14" s="10"/>
      <c r="S14" s="10">
        <f t="shared" si="0"/>
        <v>10214.62</v>
      </c>
      <c r="T14" s="14">
        <v>4504</v>
      </c>
      <c r="U14" s="15">
        <f t="shared" si="1"/>
        <v>116236.116</v>
      </c>
      <c r="V14" s="14"/>
      <c r="XDQ14" s="19"/>
      <c r="XDR14" s="19"/>
      <c r="XDS14" s="19"/>
      <c r="XDT14" s="19"/>
      <c r="XDU14" s="19"/>
      <c r="XDV14" s="19"/>
      <c r="XDW14" s="19"/>
      <c r="XDX14" s="19"/>
      <c r="XDY14" s="19"/>
      <c r="XDZ14" s="19"/>
    </row>
    <row r="15" s="3" customFormat="1" ht="27" customHeight="1" spans="1:16354">
      <c r="A15" s="9">
        <v>45881</v>
      </c>
      <c r="B15" s="10">
        <v>121.12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>
        <v>7820.56</v>
      </c>
      <c r="N15" s="10"/>
      <c r="O15" s="10"/>
      <c r="P15" s="10"/>
      <c r="Q15" s="10"/>
      <c r="R15" s="10"/>
      <c r="S15" s="10">
        <f t="shared" si="0"/>
        <v>7941.68</v>
      </c>
      <c r="T15" s="14">
        <v>5518</v>
      </c>
      <c r="U15" s="15">
        <f t="shared" si="1"/>
        <v>118659.796</v>
      </c>
      <c r="V15" s="14"/>
      <c r="XDQ15" s="19"/>
      <c r="XDR15" s="19"/>
      <c r="XDS15" s="19"/>
      <c r="XDT15" s="19"/>
      <c r="XDU15" s="19"/>
      <c r="XDV15" s="19"/>
      <c r="XDW15" s="19"/>
      <c r="XDX15" s="19"/>
      <c r="XDY15" s="19"/>
      <c r="XDZ15" s="19"/>
    </row>
    <row r="16" s="3" customFormat="1" ht="27" customHeight="1" spans="1:16354">
      <c r="A16" s="9">
        <v>45882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f t="shared" si="0"/>
        <v>0</v>
      </c>
      <c r="T16" s="14">
        <v>5207</v>
      </c>
      <c r="U16" s="15">
        <f t="shared" si="1"/>
        <v>113452.796</v>
      </c>
      <c r="V16" s="14"/>
      <c r="XDQ16" s="19"/>
      <c r="XDR16" s="19"/>
      <c r="XDS16" s="19"/>
      <c r="XDT16" s="19"/>
      <c r="XDU16" s="19"/>
      <c r="XDV16" s="19"/>
      <c r="XDW16" s="19"/>
      <c r="XDX16" s="19"/>
      <c r="XDY16" s="19"/>
      <c r="XDZ16" s="19"/>
    </row>
    <row r="17" s="3" customFormat="1" ht="27" customHeight="1" spans="1:16354">
      <c r="A17" s="9">
        <v>45883</v>
      </c>
      <c r="B17" s="10"/>
      <c r="C17" s="10"/>
      <c r="D17" s="10"/>
      <c r="E17" s="10"/>
      <c r="F17" s="10"/>
      <c r="G17" s="10"/>
      <c r="H17" s="10">
        <v>3181.64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f t="shared" si="0"/>
        <v>3181.64</v>
      </c>
      <c r="T17" s="14">
        <v>4570</v>
      </c>
      <c r="U17" s="15">
        <f t="shared" si="1"/>
        <v>112064.436</v>
      </c>
      <c r="V17" s="14"/>
      <c r="XDQ17" s="19"/>
      <c r="XDR17" s="19"/>
      <c r="XDS17" s="19"/>
      <c r="XDT17" s="19"/>
      <c r="XDU17" s="19"/>
      <c r="XDV17" s="19"/>
      <c r="XDW17" s="19"/>
      <c r="XDX17" s="19"/>
      <c r="XDY17" s="19"/>
      <c r="XDZ17" s="19"/>
    </row>
    <row r="18" s="3" customFormat="1" ht="27" customHeight="1" spans="1:16354">
      <c r="A18" s="9">
        <v>45884</v>
      </c>
      <c r="B18" s="10">
        <v>274.46</v>
      </c>
      <c r="C18" s="10"/>
      <c r="D18" s="10"/>
      <c r="E18" s="10"/>
      <c r="F18" s="10"/>
      <c r="G18" s="10"/>
      <c r="H18" s="10">
        <v>1573.84</v>
      </c>
      <c r="I18" s="10">
        <v>1165.62</v>
      </c>
      <c r="J18" s="10"/>
      <c r="K18" s="10"/>
      <c r="L18" s="10"/>
      <c r="M18" s="10"/>
      <c r="N18" s="10"/>
      <c r="O18" s="10"/>
      <c r="P18" s="10"/>
      <c r="Q18" s="10"/>
      <c r="R18" s="10"/>
      <c r="S18" s="10">
        <f t="shared" si="0"/>
        <v>3013.92</v>
      </c>
      <c r="T18" s="14">
        <v>4951</v>
      </c>
      <c r="U18" s="15">
        <f t="shared" si="1"/>
        <v>110127.356</v>
      </c>
      <c r="V18" s="14"/>
      <c r="W18" s="3"/>
      <c r="X18" s="3"/>
      <c r="XDQ18" s="19"/>
      <c r="XDR18" s="19"/>
      <c r="XDS18" s="19"/>
      <c r="XDT18" s="19"/>
      <c r="XDU18" s="19"/>
      <c r="XDV18" s="19"/>
      <c r="XDW18" s="19"/>
      <c r="XDX18" s="19"/>
      <c r="XDY18" s="19"/>
      <c r="XDZ18" s="19"/>
    </row>
    <row r="19" s="3" customFormat="1" ht="27" customHeight="1" spans="1:16354">
      <c r="A19" s="9">
        <v>45885</v>
      </c>
      <c r="B19" s="10">
        <v>245.28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>
        <v>6629.04</v>
      </c>
      <c r="Q19" s="10"/>
      <c r="R19" s="10"/>
      <c r="S19" s="10">
        <f t="shared" si="0"/>
        <v>6874.32</v>
      </c>
      <c r="T19" s="14">
        <v>5118</v>
      </c>
      <c r="U19" s="15">
        <f t="shared" si="1"/>
        <v>111883.676</v>
      </c>
      <c r="V19" s="14"/>
      <c r="W19" s="3"/>
      <c r="X19" s="3"/>
      <c r="XDQ19" s="19"/>
      <c r="XDR19" s="19"/>
      <c r="XDS19" s="19"/>
      <c r="XDT19" s="19"/>
      <c r="XDU19" s="19"/>
      <c r="XDV19" s="19"/>
      <c r="XDW19" s="19"/>
      <c r="XDX19" s="19"/>
      <c r="XDY19" s="19"/>
      <c r="XDZ19" s="19"/>
    </row>
    <row r="20" s="3" customFormat="1" ht="27" customHeight="1" spans="1:16354">
      <c r="A20" s="9">
        <v>45886</v>
      </c>
      <c r="B20" s="10">
        <v>29.9</v>
      </c>
      <c r="C20" s="10"/>
      <c r="D20" s="10"/>
      <c r="E20" s="10"/>
      <c r="F20" s="10">
        <v>1539.46</v>
      </c>
      <c r="G20" s="10"/>
      <c r="H20" s="10"/>
      <c r="I20" s="10"/>
      <c r="J20" s="10"/>
      <c r="K20" s="10">
        <v>4927.06</v>
      </c>
      <c r="L20" s="10"/>
      <c r="M20" s="10"/>
      <c r="N20" s="10"/>
      <c r="O20" s="10"/>
      <c r="P20" s="10"/>
      <c r="Q20" s="10"/>
      <c r="R20" s="10"/>
      <c r="S20" s="10">
        <f t="shared" si="0"/>
        <v>6496.42</v>
      </c>
      <c r="T20" s="14">
        <v>5293</v>
      </c>
      <c r="U20" s="15">
        <f t="shared" si="1"/>
        <v>113087.096</v>
      </c>
      <c r="V20" s="14"/>
      <c r="W20" s="3"/>
      <c r="X20" s="3"/>
      <c r="XDQ20" s="19"/>
      <c r="XDR20" s="19"/>
      <c r="XDS20" s="19"/>
      <c r="XDT20" s="19"/>
      <c r="XDU20" s="19"/>
      <c r="XDV20" s="19"/>
      <c r="XDW20" s="19"/>
      <c r="XDX20" s="19"/>
      <c r="XDY20" s="19"/>
      <c r="XDZ20" s="19"/>
    </row>
    <row r="21" s="3" customFormat="1" ht="27" customHeight="1" spans="1:16354">
      <c r="A21" s="9">
        <v>45887</v>
      </c>
      <c r="B21" s="10">
        <v>30.6</v>
      </c>
      <c r="C21" s="10"/>
      <c r="D21" s="10">
        <v>457.18</v>
      </c>
      <c r="E21" s="10"/>
      <c r="F21" s="10">
        <v>2303.76</v>
      </c>
      <c r="G21" s="10"/>
      <c r="H21" s="10"/>
      <c r="I21" s="10"/>
      <c r="J21" s="10"/>
      <c r="K21" s="10"/>
      <c r="L21" s="10"/>
      <c r="M21" s="10">
        <v>5861.86</v>
      </c>
      <c r="N21" s="10"/>
      <c r="O21" s="10"/>
      <c r="P21" s="10"/>
      <c r="Q21" s="10"/>
      <c r="R21" s="10"/>
      <c r="S21" s="10">
        <f t="shared" si="0"/>
        <v>8653.4</v>
      </c>
      <c r="T21" s="14">
        <v>5961</v>
      </c>
      <c r="U21" s="15">
        <f t="shared" si="1"/>
        <v>115779.496</v>
      </c>
      <c r="V21" s="14"/>
      <c r="XDQ21" s="19"/>
      <c r="XDR21" s="19"/>
      <c r="XDS21" s="19"/>
      <c r="XDT21" s="19"/>
      <c r="XDU21" s="19"/>
      <c r="XDV21" s="19"/>
      <c r="XDW21" s="19"/>
      <c r="XDX21" s="19"/>
      <c r="XDY21" s="19"/>
      <c r="XDZ21" s="19"/>
    </row>
    <row r="22" s="3" customFormat="1" ht="27" customHeight="1" spans="1:16354">
      <c r="A22" s="9">
        <v>45888</v>
      </c>
      <c r="B22" s="10"/>
      <c r="C22" s="10"/>
      <c r="D22" s="10">
        <v>306.7</v>
      </c>
      <c r="E22" s="10"/>
      <c r="F22" s="10">
        <v>2420.42</v>
      </c>
      <c r="G22" s="10"/>
      <c r="H22" s="10"/>
      <c r="I22" s="10"/>
      <c r="J22" s="10"/>
      <c r="K22" s="10">
        <v>4270.78</v>
      </c>
      <c r="L22" s="10"/>
      <c r="M22" s="10"/>
      <c r="N22" s="10"/>
      <c r="O22" s="10"/>
      <c r="P22" s="10"/>
      <c r="Q22" s="10"/>
      <c r="R22" s="10"/>
      <c r="S22" s="10">
        <f t="shared" si="0"/>
        <v>6997.9</v>
      </c>
      <c r="T22" s="14">
        <v>5268</v>
      </c>
      <c r="U22" s="15">
        <f t="shared" si="1"/>
        <v>117509.396</v>
      </c>
      <c r="V22" s="14"/>
      <c r="XDQ22" s="19"/>
      <c r="XDR22" s="19"/>
      <c r="XDS22" s="19"/>
      <c r="XDT22" s="19"/>
      <c r="XDU22" s="19"/>
      <c r="XDV22" s="19"/>
      <c r="XDW22" s="19"/>
      <c r="XDX22" s="19"/>
      <c r="XDY22" s="19"/>
      <c r="XDZ22" s="19"/>
    </row>
    <row r="23" s="3" customFormat="1" ht="27" customHeight="1" spans="1:16354">
      <c r="A23" s="9">
        <v>45889</v>
      </c>
      <c r="B23" s="10"/>
      <c r="C23" s="10"/>
      <c r="D23" s="10">
        <v>151.92</v>
      </c>
      <c r="E23" s="10"/>
      <c r="F23" s="10">
        <v>1643.54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>
        <f t="shared" si="0"/>
        <v>1795.46</v>
      </c>
      <c r="T23" s="14">
        <v>5838</v>
      </c>
      <c r="U23" s="15">
        <f t="shared" si="1"/>
        <v>113466.856</v>
      </c>
      <c r="V23" s="14"/>
      <c r="XDQ23" s="19"/>
      <c r="XDR23" s="19"/>
      <c r="XDS23" s="19"/>
      <c r="XDT23" s="19"/>
      <c r="XDU23" s="19"/>
      <c r="XDV23" s="19"/>
      <c r="XDW23" s="19"/>
      <c r="XDX23" s="19"/>
      <c r="XDY23" s="19"/>
      <c r="XDZ23" s="19"/>
    </row>
    <row r="24" s="3" customFormat="1" ht="27" customHeight="1" spans="1:16354">
      <c r="A24" s="9">
        <v>45890</v>
      </c>
      <c r="B24" s="10"/>
      <c r="C24" s="10">
        <v>94.88</v>
      </c>
      <c r="D24" s="10">
        <v>147.64</v>
      </c>
      <c r="E24" s="10"/>
      <c r="F24" s="10">
        <v>986.72</v>
      </c>
      <c r="G24" s="10"/>
      <c r="H24" s="10"/>
      <c r="I24" s="10"/>
      <c r="J24" s="10"/>
      <c r="K24" s="10"/>
      <c r="L24" s="10"/>
      <c r="M24" s="10"/>
      <c r="N24" s="10"/>
      <c r="O24" s="10"/>
      <c r="P24" s="10">
        <v>4950.38</v>
      </c>
      <c r="Q24" s="10"/>
      <c r="R24" s="10"/>
      <c r="S24" s="10">
        <f t="shared" si="0"/>
        <v>6179.62</v>
      </c>
      <c r="T24" s="14">
        <v>5674</v>
      </c>
      <c r="U24" s="15">
        <f t="shared" si="1"/>
        <v>113972.476</v>
      </c>
      <c r="V24" s="14"/>
      <c r="XDQ24" s="19"/>
      <c r="XDR24" s="19"/>
      <c r="XDS24" s="19"/>
      <c r="XDT24" s="19"/>
      <c r="XDU24" s="19"/>
      <c r="XDV24" s="19"/>
      <c r="XDW24" s="19"/>
      <c r="XDX24" s="19"/>
      <c r="XDY24" s="19"/>
      <c r="XDZ24" s="19"/>
    </row>
    <row r="25" s="3" customFormat="1" ht="27" customHeight="1" spans="1:16354">
      <c r="A25" s="9">
        <v>45891</v>
      </c>
      <c r="B25" s="10">
        <v>150.9</v>
      </c>
      <c r="C25" s="10">
        <v>64.02</v>
      </c>
      <c r="D25" s="10"/>
      <c r="E25" s="10"/>
      <c r="F25" s="10">
        <v>1563.48</v>
      </c>
      <c r="G25" s="10"/>
      <c r="H25" s="10"/>
      <c r="I25" s="10"/>
      <c r="J25" s="10">
        <v>4415.76</v>
      </c>
      <c r="K25" s="10"/>
      <c r="L25" s="10"/>
      <c r="M25" s="10"/>
      <c r="N25" s="10"/>
      <c r="O25" s="10"/>
      <c r="P25" s="10"/>
      <c r="Q25" s="10"/>
      <c r="R25" s="10"/>
      <c r="S25" s="10">
        <f t="shared" si="0"/>
        <v>6194.16</v>
      </c>
      <c r="T25" s="14">
        <v>6113</v>
      </c>
      <c r="U25" s="15">
        <f t="shared" si="1"/>
        <v>114053.636</v>
      </c>
      <c r="V25" s="14"/>
      <c r="XDQ25" s="19"/>
      <c r="XDR25" s="19"/>
      <c r="XDS25" s="19"/>
      <c r="XDT25" s="19"/>
      <c r="XDU25" s="19"/>
      <c r="XDV25" s="19"/>
      <c r="XDW25" s="19"/>
      <c r="XDX25" s="19"/>
      <c r="XDY25" s="19"/>
      <c r="XDZ25" s="19"/>
    </row>
    <row r="26" s="3" customFormat="1" ht="27" customHeight="1" spans="1:16354">
      <c r="A26" s="9">
        <v>45892</v>
      </c>
      <c r="B26" s="10">
        <v>61.08</v>
      </c>
      <c r="C26" s="10"/>
      <c r="D26" s="10"/>
      <c r="E26" s="10"/>
      <c r="F26" s="10">
        <v>2369.7</v>
      </c>
      <c r="G26" s="10"/>
      <c r="H26" s="10"/>
      <c r="I26" s="10"/>
      <c r="J26" s="10"/>
      <c r="K26" s="10"/>
      <c r="L26" s="10"/>
      <c r="M26" s="10">
        <v>3575.72</v>
      </c>
      <c r="N26" s="10"/>
      <c r="O26" s="10"/>
      <c r="P26" s="10"/>
      <c r="Q26" s="10"/>
      <c r="R26" s="10"/>
      <c r="S26" s="10">
        <f t="shared" si="0"/>
        <v>6006.5</v>
      </c>
      <c r="T26" s="14">
        <v>5578</v>
      </c>
      <c r="U26" s="15">
        <f t="shared" si="1"/>
        <v>114482.136</v>
      </c>
      <c r="V26" s="16"/>
      <c r="XDQ26" s="19"/>
      <c r="XDR26" s="19"/>
      <c r="XDS26" s="19"/>
      <c r="XDT26" s="19"/>
      <c r="XDU26" s="19"/>
      <c r="XDV26" s="19"/>
      <c r="XDW26" s="19"/>
      <c r="XDX26" s="19"/>
      <c r="XDY26" s="19"/>
      <c r="XDZ26" s="19"/>
    </row>
    <row r="27" s="3" customFormat="1" ht="27" customHeight="1" spans="1:16354">
      <c r="A27" s="9">
        <v>45893</v>
      </c>
      <c r="B27" s="10">
        <v>91.92</v>
      </c>
      <c r="C27" s="10"/>
      <c r="D27" s="10"/>
      <c r="E27" s="10"/>
      <c r="F27" s="10">
        <v>782.54</v>
      </c>
      <c r="G27" s="10"/>
      <c r="H27" s="10"/>
      <c r="I27" s="10"/>
      <c r="J27" s="10"/>
      <c r="K27" s="10"/>
      <c r="L27" s="10"/>
      <c r="M27" s="10"/>
      <c r="N27" s="10">
        <v>3922.48</v>
      </c>
      <c r="O27" s="10"/>
      <c r="P27" s="10"/>
      <c r="Q27" s="10"/>
      <c r="R27" s="10"/>
      <c r="S27" s="10">
        <f t="shared" si="0"/>
        <v>4796.94</v>
      </c>
      <c r="T27" s="14">
        <v>5210</v>
      </c>
      <c r="U27" s="15">
        <f t="shared" si="1"/>
        <v>114069.076</v>
      </c>
      <c r="V27" s="14"/>
      <c r="W27" s="3"/>
      <c r="XDQ27" s="19"/>
      <c r="XDR27" s="19"/>
      <c r="XDS27" s="19"/>
      <c r="XDT27" s="19"/>
      <c r="XDU27" s="19"/>
      <c r="XDV27" s="19"/>
      <c r="XDW27" s="19"/>
      <c r="XDX27" s="19"/>
      <c r="XDY27" s="19"/>
      <c r="XDZ27" s="19"/>
    </row>
    <row r="28" s="3" customFormat="1" ht="27" customHeight="1" spans="1:16354">
      <c r="A28" s="9">
        <v>45894</v>
      </c>
      <c r="B28" s="10"/>
      <c r="C28" s="10"/>
      <c r="D28" s="10">
        <v>183.92</v>
      </c>
      <c r="E28" s="10"/>
      <c r="F28" s="10">
        <v>2160.52</v>
      </c>
      <c r="G28" s="10"/>
      <c r="H28" s="10"/>
      <c r="I28" s="10"/>
      <c r="J28" s="10"/>
      <c r="K28" s="10"/>
      <c r="L28" s="10"/>
      <c r="M28" s="10"/>
      <c r="N28" s="10">
        <v>3758.99</v>
      </c>
      <c r="O28" s="10"/>
      <c r="P28" s="10"/>
      <c r="Q28" s="10"/>
      <c r="R28" s="10"/>
      <c r="S28" s="10">
        <f t="shared" si="0"/>
        <v>6103.43</v>
      </c>
      <c r="T28" s="14">
        <v>5197</v>
      </c>
      <c r="U28" s="15">
        <f t="shared" si="1"/>
        <v>114975.506</v>
      </c>
      <c r="V28" s="14"/>
      <c r="W28" s="3"/>
      <c r="XDQ28" s="19"/>
      <c r="XDR28" s="19"/>
      <c r="XDS28" s="19"/>
      <c r="XDT28" s="19"/>
      <c r="XDU28" s="19"/>
      <c r="XDV28" s="19"/>
      <c r="XDW28" s="19"/>
      <c r="XDX28" s="19"/>
      <c r="XDY28" s="19"/>
      <c r="XDZ28" s="19"/>
    </row>
    <row r="29" s="3" customFormat="1" ht="27" customHeight="1" spans="1:16354">
      <c r="A29" s="9">
        <v>45895</v>
      </c>
      <c r="B29" s="10"/>
      <c r="C29" s="10"/>
      <c r="D29" s="10">
        <v>205.8</v>
      </c>
      <c r="E29" s="10"/>
      <c r="F29" s="10">
        <v>2780.36</v>
      </c>
      <c r="G29" s="10"/>
      <c r="H29" s="10"/>
      <c r="I29" s="10"/>
      <c r="J29" s="10"/>
      <c r="K29" s="10">
        <v>7833.18</v>
      </c>
      <c r="L29" s="10"/>
      <c r="M29" s="10"/>
      <c r="N29" s="10"/>
      <c r="O29" s="10"/>
      <c r="P29" s="10"/>
      <c r="Q29" s="10"/>
      <c r="R29" s="10"/>
      <c r="S29" s="10">
        <f t="shared" si="0"/>
        <v>10819.34</v>
      </c>
      <c r="T29" s="14">
        <v>5025</v>
      </c>
      <c r="U29" s="15">
        <f t="shared" si="1"/>
        <v>120769.846</v>
      </c>
      <c r="V29" s="14"/>
      <c r="XDQ29" s="19"/>
      <c r="XDR29" s="19"/>
      <c r="XDS29" s="19"/>
      <c r="XDT29" s="19"/>
      <c r="XDU29" s="19"/>
      <c r="XDV29" s="19"/>
      <c r="XDW29" s="19"/>
      <c r="XDX29" s="19"/>
      <c r="XDY29" s="19"/>
      <c r="XDZ29" s="19"/>
    </row>
    <row r="30" s="3" customFormat="1" ht="27" customHeight="1" spans="1:16354">
      <c r="A30" s="9">
        <v>45896</v>
      </c>
      <c r="B30" s="10"/>
      <c r="C30" s="10"/>
      <c r="D30" s="10">
        <v>59.74</v>
      </c>
      <c r="E30" s="10"/>
      <c r="F30" s="10">
        <v>1411.2</v>
      </c>
      <c r="G30" s="10"/>
      <c r="H30" s="10"/>
      <c r="I30" s="10"/>
      <c r="J30" s="10"/>
      <c r="K30" s="10">
        <v>3747.94</v>
      </c>
      <c r="L30" s="10"/>
      <c r="M30" s="10"/>
      <c r="N30" s="10"/>
      <c r="O30" s="10"/>
      <c r="P30" s="10"/>
      <c r="Q30" s="10"/>
      <c r="R30" s="10"/>
      <c r="S30" s="10">
        <f t="shared" si="0"/>
        <v>5218.88</v>
      </c>
      <c r="T30" s="14">
        <v>3608</v>
      </c>
      <c r="U30" s="15">
        <f t="shared" si="1"/>
        <v>122380.726</v>
      </c>
      <c r="V30" s="14"/>
      <c r="XDQ30" s="19"/>
      <c r="XDR30" s="19"/>
      <c r="XDS30" s="19"/>
      <c r="XDT30" s="19"/>
      <c r="XDU30" s="19"/>
      <c r="XDV30" s="19"/>
      <c r="XDW30" s="19"/>
      <c r="XDX30" s="19"/>
      <c r="XDY30" s="19"/>
      <c r="XDZ30" s="19"/>
    </row>
    <row r="31" s="3" customFormat="1" ht="27" customHeight="1" spans="1:16354">
      <c r="A31" s="9">
        <v>45897</v>
      </c>
      <c r="B31" s="10"/>
      <c r="C31" s="10"/>
      <c r="D31" s="10">
        <v>185.32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>
        <v>7932.62</v>
      </c>
      <c r="Q31" s="10"/>
      <c r="R31" s="10"/>
      <c r="S31" s="10">
        <f t="shared" si="0"/>
        <v>8117.94</v>
      </c>
      <c r="T31" s="14">
        <v>4210</v>
      </c>
      <c r="U31" s="15">
        <f t="shared" si="1"/>
        <v>126288.666</v>
      </c>
      <c r="V31" s="14"/>
      <c r="XDQ31" s="19"/>
      <c r="XDR31" s="19"/>
      <c r="XDS31" s="19"/>
      <c r="XDT31" s="19"/>
      <c r="XDU31" s="19"/>
      <c r="XDV31" s="19"/>
      <c r="XDW31" s="19"/>
      <c r="XDX31" s="19"/>
      <c r="XDY31" s="19"/>
      <c r="XDZ31" s="19"/>
    </row>
    <row r="32" s="3" customFormat="1" ht="27" customHeight="1" spans="1:16354">
      <c r="A32" s="9">
        <v>45898</v>
      </c>
      <c r="B32" s="10"/>
      <c r="C32" s="10"/>
      <c r="D32" s="10">
        <v>328.82</v>
      </c>
      <c r="E32" s="10"/>
      <c r="F32" s="10"/>
      <c r="G32" s="10"/>
      <c r="H32" s="10"/>
      <c r="I32" s="10"/>
      <c r="J32" s="10"/>
      <c r="K32" s="10"/>
      <c r="L32" s="10"/>
      <c r="M32" s="10"/>
      <c r="N32" s="10">
        <v>3222.2</v>
      </c>
      <c r="O32" s="10"/>
      <c r="P32" s="10"/>
      <c r="Q32" s="10"/>
      <c r="R32" s="10"/>
      <c r="S32" s="10">
        <f t="shared" si="0"/>
        <v>3551.02</v>
      </c>
      <c r="T32" s="14">
        <v>4789</v>
      </c>
      <c r="U32" s="15">
        <f t="shared" si="1"/>
        <v>125050.686</v>
      </c>
      <c r="V32" s="14"/>
      <c r="XDQ32" s="19"/>
      <c r="XDR32" s="19"/>
      <c r="XDS32" s="19"/>
      <c r="XDT32" s="19"/>
      <c r="XDU32" s="19"/>
      <c r="XDV32" s="19"/>
      <c r="XDW32" s="19"/>
      <c r="XDX32" s="19"/>
      <c r="XDY32" s="19"/>
      <c r="XDZ32" s="19"/>
    </row>
    <row r="33" s="3" customFormat="1" ht="26" customHeight="1" spans="1:16354">
      <c r="A33" s="9">
        <v>45899</v>
      </c>
      <c r="B33" s="10"/>
      <c r="C33" s="10"/>
      <c r="D33" s="10">
        <v>308.34</v>
      </c>
      <c r="E33" s="10"/>
      <c r="F33" s="10"/>
      <c r="G33" s="10"/>
      <c r="H33" s="10"/>
      <c r="I33" s="10">
        <v>2443.36</v>
      </c>
      <c r="J33" s="10"/>
      <c r="K33" s="10"/>
      <c r="L33" s="10"/>
      <c r="M33" s="10"/>
      <c r="N33" s="10">
        <v>3900.72</v>
      </c>
      <c r="O33" s="10"/>
      <c r="P33" s="10"/>
      <c r="Q33" s="10"/>
      <c r="R33" s="10"/>
      <c r="S33" s="10">
        <f t="shared" si="0"/>
        <v>6652.42</v>
      </c>
      <c r="T33" s="14">
        <v>5473</v>
      </c>
      <c r="U33" s="15">
        <f t="shared" si="1"/>
        <v>126230.106</v>
      </c>
      <c r="V33" s="14"/>
      <c r="XDQ33" s="19"/>
      <c r="XDR33" s="19"/>
      <c r="XDS33" s="19"/>
      <c r="XDT33" s="19"/>
      <c r="XDU33" s="19"/>
      <c r="XDV33" s="19"/>
      <c r="XDW33" s="19"/>
      <c r="XDX33" s="19"/>
      <c r="XDY33" s="19"/>
      <c r="XDZ33" s="19"/>
    </row>
    <row r="34" s="3" customFormat="1" ht="26" customHeight="1" spans="1:16354">
      <c r="A34" s="9">
        <v>45900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f t="shared" si="0"/>
        <v>0</v>
      </c>
      <c r="T34" s="14">
        <v>5009</v>
      </c>
      <c r="U34" s="15">
        <f t="shared" si="1"/>
        <v>121221.106</v>
      </c>
      <c r="V34" s="14"/>
      <c r="XDQ34" s="19"/>
      <c r="XDR34" s="19"/>
      <c r="XDS34" s="19"/>
      <c r="XDT34" s="19"/>
      <c r="XDU34" s="19"/>
      <c r="XDV34" s="19"/>
      <c r="XDW34" s="19"/>
      <c r="XDX34" s="19"/>
      <c r="XDY34" s="19"/>
      <c r="XDZ34" s="19"/>
    </row>
    <row r="35" s="3" customFormat="1" ht="27" customHeight="1" spans="1:16354">
      <c r="A35" s="11" t="s">
        <v>31</v>
      </c>
      <c r="B35" s="11">
        <f t="shared" ref="B35:T35" si="2">SUM(B4:B34)</f>
        <v>1708.18</v>
      </c>
      <c r="C35" s="11">
        <f t="shared" si="2"/>
        <v>1168.9</v>
      </c>
      <c r="D35" s="11">
        <f t="shared" si="2"/>
        <v>2888.8</v>
      </c>
      <c r="E35" s="11">
        <f t="shared" si="2"/>
        <v>0</v>
      </c>
      <c r="F35" s="11">
        <f t="shared" si="2"/>
        <v>19961.7</v>
      </c>
      <c r="G35" s="11">
        <f t="shared" si="2"/>
        <v>0</v>
      </c>
      <c r="H35" s="11">
        <f t="shared" si="2"/>
        <v>4755.48</v>
      </c>
      <c r="I35" s="11">
        <f t="shared" si="2"/>
        <v>3608.98</v>
      </c>
      <c r="J35" s="11">
        <f t="shared" si="2"/>
        <v>4415.76</v>
      </c>
      <c r="K35" s="11">
        <f t="shared" si="2"/>
        <v>35022.82</v>
      </c>
      <c r="L35" s="11">
        <f t="shared" si="2"/>
        <v>0</v>
      </c>
      <c r="M35" s="11">
        <f t="shared" si="2"/>
        <v>39938.26</v>
      </c>
      <c r="N35" s="11">
        <f t="shared" si="2"/>
        <v>24320.87</v>
      </c>
      <c r="O35" s="11">
        <f t="shared" si="2"/>
        <v>7118.22</v>
      </c>
      <c r="P35" s="11">
        <f t="shared" si="2"/>
        <v>19512.04</v>
      </c>
      <c r="Q35" s="11">
        <f t="shared" si="2"/>
        <v>0</v>
      </c>
      <c r="R35" s="11">
        <f t="shared" si="2"/>
        <v>0</v>
      </c>
      <c r="S35" s="11">
        <f t="shared" si="2"/>
        <v>164420.01</v>
      </c>
      <c r="T35" s="11">
        <f t="shared" si="2"/>
        <v>160916</v>
      </c>
      <c r="U35" s="17">
        <f>U34-V34</f>
        <v>121221.106</v>
      </c>
      <c r="V35" s="14"/>
      <c r="XDQ35" s="19"/>
      <c r="XDR35" s="19"/>
      <c r="XDS35" s="19"/>
      <c r="XDT35" s="19"/>
      <c r="XDU35" s="19"/>
      <c r="XDV35" s="19"/>
      <c r="XDW35" s="19"/>
      <c r="XDX35" s="19"/>
      <c r="XDY35" s="19"/>
      <c r="XDZ35" s="19"/>
    </row>
    <row r="36" s="4" customFormat="1" ht="20" customHeight="1" spans="10:16374">
      <c r="J36" s="5"/>
      <c r="K36" s="5"/>
      <c r="U36" s="5"/>
      <c r="XER36" s="6"/>
      <c r="XES36" s="6"/>
      <c r="XET36" s="6"/>
    </row>
    <row r="37" spans="10:11">
      <c r="J37" s="4"/>
      <c r="K37" s="4"/>
    </row>
  </sheetData>
  <mergeCells count="10">
    <mergeCell ref="A1:V1"/>
    <mergeCell ref="B2:E2"/>
    <mergeCell ref="G2:I2"/>
    <mergeCell ref="J2:K2"/>
    <mergeCell ref="M2:N2"/>
    <mergeCell ref="O2:P2"/>
    <mergeCell ref="Q2:R2"/>
    <mergeCell ref="A2:A3"/>
    <mergeCell ref="S2:S3"/>
    <mergeCell ref="T2:T3"/>
  </mergeCells>
  <printOptions horizontalCentered="1" verticalCentered="1"/>
  <pageMargins left="0.196527777777778" right="0.196527777777778" top="0.393055555555556" bottom="0.393055555555556" header="0.101388888888889" footer="0"/>
  <pageSetup paperSize="9" scale="5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2025.08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梁晶</dc:creator>
  <cp:lastModifiedBy>梁晶</cp:lastModifiedBy>
  <dcterms:created xsi:type="dcterms:W3CDTF">2022-08-01T22:45:00Z</dcterms:created>
  <dcterms:modified xsi:type="dcterms:W3CDTF">2025-09-01T00:22:50Z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9E5780B153A055781F020D642C1D235A_33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