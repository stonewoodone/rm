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 tabRatio="672"/>
  </bookViews>
  <sheets>
    <sheet name="2025.07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<sst xmlns="http://schemas.openxmlformats.org/spreadsheetml/2006/main" count="34" uniqueCount="34">
  <si>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2025年7月侯马热电收耗存数据</t>
  </si>
  <si>
    <t>日期</t>
  </si>
  <si>
    <t>焦煤</t>
  </si>
  <si>
    <t>地方</t>
  </si>
  <si>
    <t>太原煤气化</t>
  </si>
  <si>
    <t>煤业集团</t>
  </si>
  <si>
    <t>忻州公司</t>
  </si>
  <si>
    <t>轩岗煤电</t>
  </si>
  <si>
    <t>朔州公司</t>
  </si>
  <si>
    <t>晋城公司</t>
  </si>
  <si>
    <t>合计来煤
（吨）</t>
  </si>
  <si>
    <t>皮带秤消耗（吨）</t>
  </si>
  <si>
    <t>库存（吨）</t>
  </si>
  <si>
    <t>备注</t>
  </si>
  <si>
    <t>杜家沟(G)
7-1</t>
  </si>
  <si>
    <t>雪坪(G)
7-1</t>
  </si>
  <si>
    <t>昊兴塬(G)
6-1</t>
  </si>
  <si>
    <t>昊兴塬(G)
7-1</t>
  </si>
  <si>
    <t>三交河(G)
7-1</t>
  </si>
  <si>
    <t>富康源(G)
6-1</t>
  </si>
  <si>
    <t>华泓（G）
7-1</t>
  </si>
  <si>
    <t>龙泉（T）
7-1</t>
  </si>
  <si>
    <t>龙泉（T）
7-2</t>
  </si>
  <si>
    <t>北辛窑（T）5-1</t>
  </si>
  <si>
    <t>北辛窑（T）6-1</t>
  </si>
  <si>
    <t>北辛窑（T）7-1</t>
  </si>
  <si>
    <t>圣厚源（T）</t>
  </si>
  <si>
    <t>梨园河（T）6-1</t>
  </si>
  <si>
    <t>梨园河（T）7-1</t>
  </si>
  <si>
    <t>莲盛（T）
2-1</t>
  </si>
  <si>
    <t>莲盛（T）
7-1</t>
  </si>
  <si>
    <t>盖州（G）</t>
  </si>
  <si>
    <t>野川（G）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</si>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</sst>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000000"/>
      <name val="Microsoft YaHei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9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V36"/>
  <sheetViews>
    <sheetView tabSelected="1" zoomScale="80" zoomScaleNormal="80" workbookViewId="0">
      <pane ySplit="3" topLeftCell="A28" activePane="bottomLeft" state="frozen"/>
      <selection/>
      <selection pane="bottomLeft" activeCell="K35" sqref="K35"/>
    </sheetView>
  </sheetViews>
  <sheetFormatPr defaultColWidth="9.64166666666667" defaultRowHeight="13.5"/>
  <cols>
    <col min="1" max="1" width="12.7666666666667" style="4" customWidth="1"/>
    <col min="2" max="6" width="11.8916666666667" style="4" customWidth="1"/>
    <col min="7" max="7" width="11.7166666666667" style="4" customWidth="1"/>
    <col min="8" max="8" width="11.8916666666667" style="4" hidden="1" customWidth="1"/>
    <col min="9" max="10" width="11.8916666666667" style="4" customWidth="1"/>
    <col min="11" max="12" width="11.8916666666667" style="5" customWidth="1"/>
    <col min="13" max="13" width="11.7166666666667" style="5" customWidth="1"/>
    <col min="14" max="14" width="11.8916666666667" style="4" hidden="1" customWidth="1"/>
    <col min="15" max="16" width="12.0833333333333" style="4" customWidth="1"/>
    <col min="17" max="18" width="11.55" style="4" customWidth="1"/>
    <col min="19" max="19" width="13.3416666666667" style="4" hidden="1" customWidth="1"/>
    <col min="20" max="20" width="13.45" style="4" hidden="1" customWidth="1"/>
    <col min="21" max="21" width="13.45" style="4" customWidth="1"/>
    <col min="22" max="22" width="12.8583333333333" style="4" customWidth="1"/>
    <col min="23" max="23" width="14.8333333333333" style="4" customWidth="1"/>
    <col min="24" max="24" width="8.95" style="4" customWidth="1"/>
    <col min="25" max="16346" width="8.95" style="4"/>
    <col min="16347" max="16355" width="9.7" style="4"/>
    <col min="16356" max="16373" width="9.675" style="4"/>
    <col min="16374" max="16384" width="9.65" style="6"/>
  </cols>
  <sheetData>
    <row r="1" s="1" customFormat="1" ht="34" customHeight="1" spans="1:2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="2" customFormat="1" ht="30" customHeight="1" spans="1:16356">
      <c r="A2" s="8" t="s">
        <v>1</v>
      </c>
      <c r="B2" s="8" t="s">
        <v>2</v>
      </c>
      <c r="C2" s="8"/>
      <c r="D2" s="8"/>
      <c r="E2" s="8"/>
      <c r="F2" s="8"/>
      <c r="G2" s="8" t="s">
        <v>3</v>
      </c>
      <c r="H2" s="8" t="s">
        <v>4</v>
      </c>
      <c r="I2" s="8"/>
      <c r="J2" s="8"/>
      <c r="K2" s="8" t="s">
        <v>5</v>
      </c>
      <c r="L2" s="8"/>
      <c r="M2" s="8"/>
      <c r="N2" s="8" t="s">
        <v>6</v>
      </c>
      <c r="O2" s="8" t="s">
        <v>7</v>
      </c>
      <c r="P2" s="8"/>
      <c r="Q2" s="8" t="s">
        <v>8</v>
      </c>
      <c r="R2" s="8"/>
      <c r="S2" s="8" t="s">
        <v>9</v>
      </c>
      <c r="T2" s="8"/>
      <c r="U2" s="8" t="s">
        <v>10</v>
      </c>
      <c r="V2" s="8" t="s">
        <v>11</v>
      </c>
      <c r="W2" s="13" t="s">
        <v>12</v>
      </c>
      <c r="X2" s="13" t="s">
        <v>13</v>
      </c>
      <c r="XDS2" s="18"/>
      <c r="XDT2" s="18"/>
      <c r="XDU2" s="18"/>
      <c r="XDV2" s="18"/>
      <c r="XDW2" s="18"/>
      <c r="XDX2" s="18"/>
      <c r="XDY2" s="18"/>
      <c r="XDZ2" s="18"/>
      <c r="XEA2" s="18"/>
      <c r="XEB2" s="18"/>
    </row>
    <row r="3" s="2" customFormat="1" ht="39" customHeight="1" spans="1:16356">
      <c r="A3" s="8"/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  <c r="P3" s="8" t="s">
        <v>28</v>
      </c>
      <c r="Q3" s="8" t="s">
        <v>29</v>
      </c>
      <c r="R3" s="8" t="s">
        <v>30</v>
      </c>
      <c r="S3" s="8" t="s">
        <v>31</v>
      </c>
      <c r="T3" s="8" t="s">
        <v>32</v>
      </c>
      <c r="U3" s="8"/>
      <c r="V3" s="8"/>
      <c r="W3" s="14">
        <v>122271.116</v>
      </c>
      <c r="X3" s="13"/>
      <c r="XDS3" s="18"/>
      <c r="XDT3" s="18"/>
      <c r="XDU3" s="18"/>
      <c r="XDV3" s="18"/>
      <c r="XDW3" s="18"/>
      <c r="XDX3" s="18"/>
      <c r="XDY3" s="18"/>
      <c r="XDZ3" s="18"/>
      <c r="XEA3" s="18"/>
      <c r="XEB3" s="18"/>
    </row>
    <row r="4" s="3" customFormat="1" ht="27" customHeight="1" spans="1:16356">
      <c r="A4" s="9">
        <v>45839</v>
      </c>
      <c r="B4" s="10"/>
      <c r="C4" s="10"/>
      <c r="D4" s="10">
        <v>59.72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>
        <f t="shared" ref="U4:U34" si="0">SUM(B4:T4)</f>
        <v>59.72</v>
      </c>
      <c r="V4" s="15">
        <v>3941</v>
      </c>
      <c r="W4" s="16">
        <f t="shared" ref="W4:W34" si="1">W3+U4-V4</f>
        <v>118389.836</v>
      </c>
      <c r="X4" s="15"/>
      <c r="XDS4" s="19"/>
      <c r="XDT4" s="19"/>
      <c r="XDU4" s="19"/>
      <c r="XDV4" s="19"/>
      <c r="XDW4" s="19"/>
      <c r="XDX4" s="19"/>
      <c r="XDY4" s="19"/>
      <c r="XDZ4" s="19"/>
      <c r="XEA4" s="19"/>
      <c r="XEB4" s="19"/>
    </row>
    <row r="5" s="3" customFormat="1" ht="27" customHeight="1" spans="1:16356">
      <c r="A5" s="9">
        <v>45840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>
        <f t="shared" si="0"/>
        <v>0</v>
      </c>
      <c r="V5" s="15">
        <v>4788</v>
      </c>
      <c r="W5" s="16">
        <f t="shared" si="1"/>
        <v>113601.836</v>
      </c>
      <c r="X5" s="15"/>
      <c r="XDS5" s="19"/>
      <c r="XDT5" s="19"/>
      <c r="XDU5" s="19"/>
      <c r="XDV5" s="19"/>
      <c r="XDW5" s="19"/>
      <c r="XDX5" s="19"/>
      <c r="XDY5" s="19"/>
      <c r="XDZ5" s="19"/>
      <c r="XEA5" s="19"/>
      <c r="XEB5" s="19"/>
    </row>
    <row r="6" s="3" customFormat="1" ht="27" customHeight="1" spans="1:16356">
      <c r="A6" s="9">
        <v>45841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>
        <v>5836.44</v>
      </c>
      <c r="P6" s="10"/>
      <c r="Q6" s="10">
        <v>2039.5</v>
      </c>
      <c r="R6" s="10"/>
      <c r="S6" s="10"/>
      <c r="T6" s="10"/>
      <c r="U6" s="10">
        <f t="shared" si="0"/>
        <v>7875.94</v>
      </c>
      <c r="V6" s="15">
        <v>5088</v>
      </c>
      <c r="W6" s="16">
        <f t="shared" si="1"/>
        <v>116389.776</v>
      </c>
      <c r="X6" s="15"/>
      <c r="XDS6" s="19"/>
      <c r="XDT6" s="19"/>
      <c r="XDU6" s="19"/>
      <c r="XDV6" s="19"/>
      <c r="XDW6" s="19"/>
      <c r="XDX6" s="19"/>
      <c r="XDY6" s="19"/>
      <c r="XDZ6" s="19"/>
      <c r="XEA6" s="19"/>
      <c r="XEB6" s="19"/>
    </row>
    <row r="7" s="3" customFormat="1" ht="27" customHeight="1" spans="1:16356">
      <c r="A7" s="9">
        <v>45842</v>
      </c>
      <c r="B7" s="10"/>
      <c r="C7" s="10"/>
      <c r="D7" s="10"/>
      <c r="E7" s="10"/>
      <c r="F7" s="10"/>
      <c r="G7" s="10">
        <v>1047.8</v>
      </c>
      <c r="H7" s="10"/>
      <c r="I7" s="10">
        <v>3208.76</v>
      </c>
      <c r="J7" s="10"/>
      <c r="K7" s="10"/>
      <c r="L7" s="10"/>
      <c r="M7" s="10"/>
      <c r="N7" s="10"/>
      <c r="O7" s="10">
        <v>1136.6</v>
      </c>
      <c r="P7" s="10"/>
      <c r="Q7" s="10"/>
      <c r="R7" s="10"/>
      <c r="S7" s="10"/>
      <c r="T7" s="10"/>
      <c r="U7" s="10">
        <f t="shared" si="0"/>
        <v>5393.16</v>
      </c>
      <c r="V7" s="15">
        <v>5092</v>
      </c>
      <c r="W7" s="16">
        <f t="shared" si="1"/>
        <v>116690.936</v>
      </c>
      <c r="X7" s="15"/>
      <c r="XDS7" s="19"/>
      <c r="XDT7" s="19"/>
      <c r="XDU7" s="19"/>
      <c r="XDV7" s="19"/>
      <c r="XDW7" s="19"/>
      <c r="XDX7" s="19"/>
      <c r="XDY7" s="19"/>
      <c r="XDZ7" s="19"/>
      <c r="XEA7" s="19"/>
      <c r="XEB7" s="19"/>
    </row>
    <row r="8" s="3" customFormat="1" ht="27" customHeight="1" spans="1:16356">
      <c r="A8" s="9">
        <v>45843</v>
      </c>
      <c r="B8" s="10"/>
      <c r="C8" s="10"/>
      <c r="D8" s="10"/>
      <c r="E8" s="10"/>
      <c r="F8" s="10"/>
      <c r="G8" s="10">
        <v>813</v>
      </c>
      <c r="H8" s="10"/>
      <c r="I8" s="10"/>
      <c r="J8" s="10"/>
      <c r="K8" s="10">
        <v>4267.08</v>
      </c>
      <c r="L8" s="10"/>
      <c r="M8" s="10"/>
      <c r="N8" s="10"/>
      <c r="O8" s="10"/>
      <c r="P8" s="10"/>
      <c r="Q8" s="10"/>
      <c r="R8" s="10"/>
      <c r="S8" s="10"/>
      <c r="T8" s="10"/>
      <c r="U8" s="10">
        <f t="shared" si="0"/>
        <v>5080.08</v>
      </c>
      <c r="V8" s="15">
        <v>4350</v>
      </c>
      <c r="W8" s="16">
        <f t="shared" si="1"/>
        <v>117421.016</v>
      </c>
      <c r="X8" s="15"/>
      <c r="XDS8" s="19"/>
      <c r="XDT8" s="19"/>
      <c r="XDU8" s="19"/>
      <c r="XDV8" s="19"/>
      <c r="XDW8" s="19"/>
      <c r="XDX8" s="19"/>
      <c r="XDY8" s="19"/>
      <c r="XDZ8" s="19"/>
      <c r="XEA8" s="19"/>
      <c r="XEB8" s="19"/>
    </row>
    <row r="9" s="3" customFormat="1" ht="27" customHeight="1" spans="1:16356">
      <c r="A9" s="9">
        <v>45844</v>
      </c>
      <c r="B9" s="10"/>
      <c r="C9" s="10"/>
      <c r="D9" s="10"/>
      <c r="E9" s="10">
        <v>668.46</v>
      </c>
      <c r="F9" s="10"/>
      <c r="G9" s="10">
        <v>1053.7</v>
      </c>
      <c r="H9" s="10"/>
      <c r="I9" s="10"/>
      <c r="J9" s="10"/>
      <c r="K9" s="10">
        <v>4768.36</v>
      </c>
      <c r="L9" s="10"/>
      <c r="M9" s="10"/>
      <c r="N9" s="10"/>
      <c r="O9" s="10"/>
      <c r="P9" s="10"/>
      <c r="Q9" s="10"/>
      <c r="R9" s="10"/>
      <c r="S9" s="10"/>
      <c r="T9" s="10"/>
      <c r="U9" s="10">
        <f t="shared" si="0"/>
        <v>6490.52</v>
      </c>
      <c r="V9" s="15">
        <v>4896</v>
      </c>
      <c r="W9" s="16">
        <f t="shared" si="1"/>
        <v>119015.536</v>
      </c>
      <c r="X9" s="15"/>
      <c r="XDS9" s="19"/>
      <c r="XDT9" s="19"/>
      <c r="XDU9" s="19"/>
      <c r="XDV9" s="19"/>
      <c r="XDW9" s="19"/>
      <c r="XDX9" s="19"/>
      <c r="XDY9" s="19"/>
      <c r="XDZ9" s="19"/>
      <c r="XEA9" s="19"/>
      <c r="XEB9" s="19"/>
    </row>
    <row r="10" s="3" customFormat="1" ht="27" customHeight="1" spans="1:16356">
      <c r="A10" s="9">
        <v>45845</v>
      </c>
      <c r="B10" s="10"/>
      <c r="C10" s="10"/>
      <c r="D10" s="10"/>
      <c r="E10" s="10">
        <v>147.66</v>
      </c>
      <c r="F10" s="10"/>
      <c r="G10" s="10">
        <v>1279.42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2921.88</v>
      </c>
      <c r="S10" s="10"/>
      <c r="T10" s="10"/>
      <c r="U10" s="10">
        <f t="shared" si="0"/>
        <v>4348.96</v>
      </c>
      <c r="V10" s="15">
        <v>5310</v>
      </c>
      <c r="W10" s="16">
        <f t="shared" si="1"/>
        <v>118054.496</v>
      </c>
      <c r="X10" s="15"/>
      <c r="XDS10" s="19"/>
      <c r="XDT10" s="19"/>
      <c r="XDU10" s="19"/>
      <c r="XDV10" s="19"/>
      <c r="XDW10" s="19"/>
      <c r="XDX10" s="19"/>
      <c r="XDY10" s="19"/>
      <c r="XDZ10" s="19"/>
      <c r="XEA10" s="19"/>
      <c r="XEB10" s="19"/>
    </row>
    <row r="11" s="3" customFormat="1" ht="27" customHeight="1" spans="1:16356">
      <c r="A11" s="9">
        <v>45846</v>
      </c>
      <c r="B11" s="10"/>
      <c r="C11" s="10"/>
      <c r="D11" s="10"/>
      <c r="E11" s="10">
        <v>154.28</v>
      </c>
      <c r="F11" s="10"/>
      <c r="G11" s="10">
        <v>2729.92</v>
      </c>
      <c r="H11" s="10"/>
      <c r="I11" s="10"/>
      <c r="J11" s="10">
        <v>2825.66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f t="shared" si="0"/>
        <v>5709.86</v>
      </c>
      <c r="V11" s="15">
        <v>5185</v>
      </c>
      <c r="W11" s="16">
        <f t="shared" si="1"/>
        <v>118579.356</v>
      </c>
      <c r="X11" s="15"/>
      <c r="XDS11" s="19"/>
      <c r="XDT11" s="19"/>
      <c r="XDU11" s="19"/>
      <c r="XDV11" s="19"/>
      <c r="XDW11" s="19"/>
      <c r="XDX11" s="19"/>
      <c r="XDY11" s="19"/>
      <c r="XDZ11" s="19"/>
      <c r="XEA11" s="19"/>
      <c r="XEB11" s="19"/>
    </row>
    <row r="12" s="3" customFormat="1" ht="27" customHeight="1" spans="1:16356">
      <c r="A12" s="9">
        <v>45847</v>
      </c>
      <c r="B12" s="10">
        <v>29.96</v>
      </c>
      <c r="C12" s="10"/>
      <c r="D12" s="10"/>
      <c r="E12" s="10">
        <v>152.76</v>
      </c>
      <c r="F12" s="10"/>
      <c r="G12" s="10">
        <v>1934.96</v>
      </c>
      <c r="H12" s="10"/>
      <c r="I12" s="10">
        <v>1006.14</v>
      </c>
      <c r="J12" s="10">
        <v>774.26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f t="shared" si="0"/>
        <v>3898.08</v>
      </c>
      <c r="V12" s="15">
        <v>4731</v>
      </c>
      <c r="W12" s="16">
        <f t="shared" si="1"/>
        <v>117746.436</v>
      </c>
      <c r="X12" s="15"/>
      <c r="XDS12" s="19"/>
      <c r="XDT12" s="19"/>
      <c r="XDU12" s="19"/>
      <c r="XDV12" s="19"/>
      <c r="XDW12" s="19"/>
      <c r="XDX12" s="19"/>
      <c r="XDY12" s="19"/>
      <c r="XDZ12" s="19"/>
      <c r="XEA12" s="19"/>
      <c r="XEB12" s="19"/>
    </row>
    <row r="13" s="3" customFormat="1" ht="27" customHeight="1" spans="1:16356">
      <c r="A13" s="9">
        <v>45848</v>
      </c>
      <c r="B13" s="10">
        <v>425.14</v>
      </c>
      <c r="C13" s="10"/>
      <c r="D13" s="10"/>
      <c r="E13" s="10">
        <v>458.64</v>
      </c>
      <c r="F13" s="10"/>
      <c r="G13" s="10">
        <v>1131.24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3922</v>
      </c>
      <c r="S13" s="10"/>
      <c r="T13" s="10"/>
      <c r="U13" s="10">
        <f t="shared" si="0"/>
        <v>5937.02</v>
      </c>
      <c r="V13" s="15">
        <v>5258</v>
      </c>
      <c r="W13" s="16">
        <f t="shared" si="1"/>
        <v>118425.456</v>
      </c>
      <c r="X13" s="15"/>
      <c r="XDS13" s="19"/>
      <c r="XDT13" s="19"/>
      <c r="XDU13" s="19"/>
      <c r="XDV13" s="19"/>
      <c r="XDW13" s="19"/>
      <c r="XDX13" s="19"/>
      <c r="XDY13" s="19"/>
      <c r="XDZ13" s="19"/>
      <c r="XEA13" s="19"/>
      <c r="XEB13" s="19"/>
    </row>
    <row r="14" s="3" customFormat="1" ht="27" customHeight="1" spans="1:16356">
      <c r="A14" s="9">
        <v>45849</v>
      </c>
      <c r="B14" s="10">
        <v>120.12</v>
      </c>
      <c r="C14" s="10"/>
      <c r="D14" s="10"/>
      <c r="E14" s="10">
        <v>343.42</v>
      </c>
      <c r="F14" s="10"/>
      <c r="G14" s="10"/>
      <c r="H14" s="10"/>
      <c r="I14" s="10"/>
      <c r="J14" s="10"/>
      <c r="K14" s="10"/>
      <c r="L14" s="10">
        <v>6063.3</v>
      </c>
      <c r="M14" s="10"/>
      <c r="N14" s="10"/>
      <c r="O14" s="10"/>
      <c r="P14" s="10"/>
      <c r="Q14" s="10"/>
      <c r="R14" s="10"/>
      <c r="S14" s="10"/>
      <c r="T14" s="10"/>
      <c r="U14" s="10">
        <f t="shared" si="0"/>
        <v>6526.84</v>
      </c>
      <c r="V14" s="15">
        <v>4627</v>
      </c>
      <c r="W14" s="16">
        <f t="shared" si="1"/>
        <v>120325.296</v>
      </c>
      <c r="X14" s="15"/>
      <c r="XDS14" s="19"/>
      <c r="XDT14" s="19"/>
      <c r="XDU14" s="19"/>
      <c r="XDV14" s="19"/>
      <c r="XDW14" s="19"/>
      <c r="XDX14" s="19"/>
      <c r="XDY14" s="19"/>
      <c r="XDZ14" s="19"/>
      <c r="XEA14" s="19"/>
      <c r="XEB14" s="19"/>
    </row>
    <row r="15" s="3" customFormat="1" ht="27" customHeight="1" spans="1:16356">
      <c r="A15" s="9">
        <v>45850</v>
      </c>
      <c r="B15" s="10"/>
      <c r="C15" s="10"/>
      <c r="D15" s="10"/>
      <c r="E15" s="10">
        <v>270.06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7687.73</v>
      </c>
      <c r="S15" s="10"/>
      <c r="T15" s="10"/>
      <c r="U15" s="10">
        <f t="shared" si="0"/>
        <v>7957.79</v>
      </c>
      <c r="V15" s="15">
        <v>5004</v>
      </c>
      <c r="W15" s="16">
        <f t="shared" si="1"/>
        <v>123279.086</v>
      </c>
      <c r="X15" s="15"/>
      <c r="XDS15" s="19"/>
      <c r="XDT15" s="19"/>
      <c r="XDU15" s="19"/>
      <c r="XDV15" s="19"/>
      <c r="XDW15" s="19"/>
      <c r="XDX15" s="19"/>
      <c r="XDY15" s="19"/>
      <c r="XDZ15" s="19"/>
      <c r="XEA15" s="19"/>
      <c r="XEB15" s="19"/>
    </row>
    <row r="16" s="3" customFormat="1" ht="27" customHeight="1" spans="1:16356">
      <c r="A16" s="9">
        <v>45851</v>
      </c>
      <c r="B16" s="10">
        <v>488.4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6568.72</v>
      </c>
      <c r="S16" s="10"/>
      <c r="T16" s="10"/>
      <c r="U16" s="10">
        <f t="shared" si="0"/>
        <v>7057.12</v>
      </c>
      <c r="V16" s="15">
        <v>5778</v>
      </c>
      <c r="W16" s="16">
        <f t="shared" si="1"/>
        <v>124558.206</v>
      </c>
      <c r="X16" s="15"/>
      <c r="XDS16" s="19"/>
      <c r="XDT16" s="19"/>
      <c r="XDU16" s="19"/>
      <c r="XDV16" s="19"/>
      <c r="XDW16" s="19"/>
      <c r="XDX16" s="19"/>
      <c r="XDY16" s="19"/>
      <c r="XDZ16" s="19"/>
      <c r="XEA16" s="19"/>
      <c r="XEB16" s="19"/>
    </row>
    <row r="17" s="3" customFormat="1" ht="27" customHeight="1" spans="1:16356">
      <c r="A17" s="9">
        <v>45852</v>
      </c>
      <c r="B17" s="10">
        <v>150.06</v>
      </c>
      <c r="C17" s="10"/>
      <c r="D17" s="10"/>
      <c r="E17" s="10">
        <v>339.5</v>
      </c>
      <c r="F17" s="10"/>
      <c r="G17" s="10"/>
      <c r="H17" s="10"/>
      <c r="I17" s="10"/>
      <c r="J17" s="10"/>
      <c r="K17" s="10"/>
      <c r="L17" s="10">
        <v>3150.82</v>
      </c>
      <c r="M17" s="10"/>
      <c r="N17" s="10"/>
      <c r="O17" s="10"/>
      <c r="P17" s="10">
        <v>3702.16</v>
      </c>
      <c r="Q17" s="10"/>
      <c r="R17" s="10"/>
      <c r="S17" s="10"/>
      <c r="T17" s="10"/>
      <c r="U17" s="10">
        <f t="shared" si="0"/>
        <v>7342.54</v>
      </c>
      <c r="V17" s="15">
        <v>6130</v>
      </c>
      <c r="W17" s="16">
        <f t="shared" si="1"/>
        <v>125770.746</v>
      </c>
      <c r="X17" s="15"/>
      <c r="XDS17" s="19"/>
      <c r="XDT17" s="19"/>
      <c r="XDU17" s="19"/>
      <c r="XDV17" s="19"/>
      <c r="XDW17" s="19"/>
      <c r="XDX17" s="19"/>
      <c r="XDY17" s="19"/>
      <c r="XDZ17" s="19"/>
      <c r="XEA17" s="19"/>
      <c r="XEB17" s="19"/>
    </row>
    <row r="18" s="3" customFormat="1" ht="27" customHeight="1" spans="1:16356">
      <c r="A18" s="9">
        <v>45853</v>
      </c>
      <c r="B18" s="10">
        <v>364.54</v>
      </c>
      <c r="C18" s="10"/>
      <c r="D18" s="10"/>
      <c r="E18" s="10">
        <v>251.58</v>
      </c>
      <c r="F18" s="10"/>
      <c r="G18" s="10"/>
      <c r="H18" s="10"/>
      <c r="I18" s="10"/>
      <c r="J18" s="10"/>
      <c r="K18" s="10"/>
      <c r="L18" s="10">
        <v>6087.5</v>
      </c>
      <c r="M18" s="10"/>
      <c r="N18" s="10"/>
      <c r="O18" s="10"/>
      <c r="P18" s="10"/>
      <c r="Q18" s="10"/>
      <c r="R18" s="10"/>
      <c r="S18" s="10"/>
      <c r="T18" s="10"/>
      <c r="U18" s="10">
        <f t="shared" si="0"/>
        <v>6703.62</v>
      </c>
      <c r="V18" s="15">
        <v>4720</v>
      </c>
      <c r="W18" s="16">
        <f t="shared" si="1"/>
        <v>127754.366</v>
      </c>
      <c r="X18" s="15"/>
      <c r="XDS18" s="19"/>
      <c r="XDT18" s="19"/>
      <c r="XDU18" s="19"/>
      <c r="XDV18" s="19"/>
      <c r="XDW18" s="19"/>
      <c r="XDX18" s="19"/>
      <c r="XDY18" s="19"/>
      <c r="XDZ18" s="19"/>
      <c r="XEA18" s="19"/>
      <c r="XEB18" s="19"/>
    </row>
    <row r="19" s="3" customFormat="1" ht="27" customHeight="1" spans="1:16356">
      <c r="A19" s="9">
        <v>45854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>
        <f t="shared" si="0"/>
        <v>0</v>
      </c>
      <c r="V19" s="15">
        <v>5970</v>
      </c>
      <c r="W19" s="16">
        <f t="shared" si="1"/>
        <v>121784.366</v>
      </c>
      <c r="X19" s="15"/>
      <c r="XDS19" s="19"/>
      <c r="XDT19" s="19"/>
      <c r="XDU19" s="19"/>
      <c r="XDV19" s="19"/>
      <c r="XDW19" s="19"/>
      <c r="XDX19" s="19"/>
      <c r="XDY19" s="19"/>
      <c r="XDZ19" s="19"/>
      <c r="XEA19" s="19"/>
      <c r="XEB19" s="19"/>
    </row>
    <row r="20" s="3" customFormat="1" ht="27" customHeight="1" spans="1:16356">
      <c r="A20" s="9">
        <v>45855</v>
      </c>
      <c r="B20" s="11"/>
      <c r="C20" s="11"/>
      <c r="D20" s="11"/>
      <c r="E20" s="11"/>
      <c r="F20" s="11"/>
      <c r="G20" s="11"/>
      <c r="H20" s="11"/>
      <c r="I20" s="11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f t="shared" si="0"/>
        <v>0</v>
      </c>
      <c r="V20" s="15">
        <v>6200</v>
      </c>
      <c r="W20" s="16">
        <f t="shared" si="1"/>
        <v>115584.366</v>
      </c>
      <c r="X20" s="15"/>
      <c r="XDS20" s="19"/>
      <c r="XDT20" s="19"/>
      <c r="XDU20" s="19"/>
      <c r="XDV20" s="19"/>
      <c r="XDW20" s="19"/>
      <c r="XDX20" s="19"/>
      <c r="XDY20" s="19"/>
      <c r="XDZ20" s="19"/>
      <c r="XEA20" s="19"/>
      <c r="XEB20" s="19"/>
    </row>
    <row r="21" s="3" customFormat="1" ht="27" customHeight="1" spans="1:16356">
      <c r="A21" s="9">
        <v>45856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>
        <f t="shared" si="0"/>
        <v>0</v>
      </c>
      <c r="V21" s="15">
        <v>4612</v>
      </c>
      <c r="W21" s="16">
        <f t="shared" si="1"/>
        <v>110972.366</v>
      </c>
      <c r="X21" s="15"/>
      <c r="XDS21" s="19"/>
      <c r="XDT21" s="19"/>
      <c r="XDU21" s="19"/>
      <c r="XDV21" s="19"/>
      <c r="XDW21" s="19"/>
      <c r="XDX21" s="19"/>
      <c r="XDY21" s="19"/>
      <c r="XDZ21" s="19"/>
      <c r="XEA21" s="19"/>
      <c r="XEB21" s="19"/>
    </row>
    <row r="22" s="3" customFormat="1" ht="27" customHeight="1" spans="1:16356">
      <c r="A22" s="9">
        <v>45857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f t="shared" si="0"/>
        <v>0</v>
      </c>
      <c r="V22" s="15">
        <v>4772</v>
      </c>
      <c r="W22" s="16">
        <f t="shared" si="1"/>
        <v>106200.366</v>
      </c>
      <c r="X22" s="15"/>
      <c r="XDS22" s="19"/>
      <c r="XDT22" s="19"/>
      <c r="XDU22" s="19"/>
      <c r="XDV22" s="19"/>
      <c r="XDW22" s="19"/>
      <c r="XDX22" s="19"/>
      <c r="XDY22" s="19"/>
      <c r="XDZ22" s="19"/>
      <c r="XEA22" s="19"/>
      <c r="XEB22" s="19"/>
    </row>
    <row r="23" s="3" customFormat="1" ht="27" customHeight="1" spans="1:16356">
      <c r="A23" s="9">
        <v>45858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f t="shared" si="0"/>
        <v>0</v>
      </c>
      <c r="V23" s="15">
        <v>5427</v>
      </c>
      <c r="W23" s="16">
        <f t="shared" si="1"/>
        <v>100773.366</v>
      </c>
      <c r="X23" s="15"/>
      <c r="XDS23" s="19"/>
      <c r="XDT23" s="19"/>
      <c r="XDU23" s="19"/>
      <c r="XDV23" s="19"/>
      <c r="XDW23" s="19"/>
      <c r="XDX23" s="19"/>
      <c r="XDY23" s="19"/>
      <c r="XDZ23" s="19"/>
      <c r="XEA23" s="19"/>
      <c r="XEB23" s="19"/>
    </row>
    <row r="24" s="3" customFormat="1" ht="27" customHeight="1" spans="1:16356">
      <c r="A24" s="9">
        <v>45859</v>
      </c>
      <c r="B24" s="10"/>
      <c r="C24" s="10"/>
      <c r="D24" s="10"/>
      <c r="E24" s="10">
        <v>749.68</v>
      </c>
      <c r="F24" s="10"/>
      <c r="G24" s="10"/>
      <c r="H24" s="10"/>
      <c r="I24" s="10"/>
      <c r="J24" s="10"/>
      <c r="K24" s="10">
        <v>6716.8</v>
      </c>
      <c r="L24" s="10"/>
      <c r="M24" s="10"/>
      <c r="N24" s="10"/>
      <c r="O24" s="10"/>
      <c r="P24" s="10"/>
      <c r="Q24" s="10"/>
      <c r="R24" s="10"/>
      <c r="S24" s="10"/>
      <c r="T24" s="10"/>
      <c r="U24" s="10">
        <f t="shared" si="0"/>
        <v>7466.48</v>
      </c>
      <c r="V24" s="15">
        <v>5313</v>
      </c>
      <c r="W24" s="16">
        <f t="shared" si="1"/>
        <v>102926.846</v>
      </c>
      <c r="X24" s="15"/>
      <c r="XDS24" s="19"/>
      <c r="XDT24" s="19"/>
      <c r="XDU24" s="19"/>
      <c r="XDV24" s="19"/>
      <c r="XDW24" s="19"/>
      <c r="XDX24" s="19"/>
      <c r="XDY24" s="19"/>
      <c r="XDZ24" s="19"/>
      <c r="XEA24" s="19"/>
      <c r="XEB24" s="19"/>
    </row>
    <row r="25" s="3" customFormat="1" ht="27" customHeight="1" spans="1:16356">
      <c r="A25" s="9">
        <v>45860</v>
      </c>
      <c r="B25" s="10">
        <v>211.88</v>
      </c>
      <c r="C25" s="10">
        <v>330.1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v>7020.89</v>
      </c>
      <c r="S25" s="10"/>
      <c r="T25" s="10"/>
      <c r="U25" s="10">
        <f t="shared" si="0"/>
        <v>7562.87</v>
      </c>
      <c r="V25" s="15">
        <v>5538</v>
      </c>
      <c r="W25" s="16">
        <f t="shared" si="1"/>
        <v>104951.716</v>
      </c>
      <c r="X25" s="15"/>
      <c r="XDS25" s="19"/>
      <c r="XDT25" s="19"/>
      <c r="XDU25" s="19"/>
      <c r="XDV25" s="19"/>
      <c r="XDW25" s="19"/>
      <c r="XDX25" s="19"/>
      <c r="XDY25" s="19"/>
      <c r="XDZ25" s="19"/>
      <c r="XEA25" s="19"/>
      <c r="XEB25" s="19"/>
    </row>
    <row r="26" s="3" customFormat="1" ht="27" customHeight="1" spans="1:16356">
      <c r="A26" s="9">
        <v>45861</v>
      </c>
      <c r="B26" s="10">
        <v>332.66</v>
      </c>
      <c r="C26" s="10"/>
      <c r="D26" s="10"/>
      <c r="E26" s="10">
        <v>420.68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v>6388.48</v>
      </c>
      <c r="S26" s="10"/>
      <c r="T26" s="10"/>
      <c r="U26" s="10">
        <f t="shared" si="0"/>
        <v>7141.82</v>
      </c>
      <c r="V26" s="15">
        <v>4834</v>
      </c>
      <c r="W26" s="16">
        <f t="shared" si="1"/>
        <v>107259.536</v>
      </c>
      <c r="X26" s="11"/>
      <c r="XDS26" s="19"/>
      <c r="XDT26" s="19"/>
      <c r="XDU26" s="19"/>
      <c r="XDV26" s="19"/>
      <c r="XDW26" s="19"/>
      <c r="XDX26" s="19"/>
      <c r="XDY26" s="19"/>
      <c r="XDZ26" s="19"/>
      <c r="XEA26" s="19"/>
      <c r="XEB26" s="19"/>
    </row>
    <row r="27" s="3" customFormat="1" ht="27" customHeight="1" spans="1:16356">
      <c r="A27" s="9">
        <v>45862</v>
      </c>
      <c r="B27" s="10"/>
      <c r="C27" s="10"/>
      <c r="D27" s="10"/>
      <c r="E27" s="10"/>
      <c r="F27" s="10">
        <v>790.06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>
        <v>6446.62</v>
      </c>
      <c r="S27" s="10"/>
      <c r="T27" s="10"/>
      <c r="U27" s="10">
        <f t="shared" si="0"/>
        <v>7236.68</v>
      </c>
      <c r="V27" s="15">
        <v>4947</v>
      </c>
      <c r="W27" s="16">
        <f t="shared" si="1"/>
        <v>109549.216</v>
      </c>
      <c r="X27" s="15"/>
      <c r="XDS27" s="19"/>
      <c r="XDT27" s="19"/>
      <c r="XDU27" s="19"/>
      <c r="XDV27" s="19"/>
      <c r="XDW27" s="19"/>
      <c r="XDX27" s="19"/>
      <c r="XDY27" s="19"/>
      <c r="XDZ27" s="19"/>
      <c r="XEA27" s="19"/>
      <c r="XEB27" s="19"/>
    </row>
    <row r="28" s="3" customFormat="1" ht="27" customHeight="1" spans="1:16356">
      <c r="A28" s="9">
        <v>45863</v>
      </c>
      <c r="B28" s="10">
        <v>302.4</v>
      </c>
      <c r="C28" s="10"/>
      <c r="D28" s="10"/>
      <c r="E28" s="10">
        <v>449.1</v>
      </c>
      <c r="F28" s="10">
        <v>1013.98</v>
      </c>
      <c r="G28" s="10"/>
      <c r="H28" s="10"/>
      <c r="I28" s="10">
        <v>2846.12</v>
      </c>
      <c r="J28" s="10"/>
      <c r="K28" s="10"/>
      <c r="L28" s="10"/>
      <c r="M28" s="10"/>
      <c r="N28" s="10"/>
      <c r="O28" s="11"/>
      <c r="P28" s="10">
        <v>5603.4</v>
      </c>
      <c r="Q28" s="10"/>
      <c r="R28" s="10"/>
      <c r="S28" s="10"/>
      <c r="T28" s="10"/>
      <c r="U28" s="10">
        <f t="shared" si="0"/>
        <v>10215</v>
      </c>
      <c r="V28" s="15">
        <v>4600</v>
      </c>
      <c r="W28" s="16">
        <f t="shared" si="1"/>
        <v>115164.216</v>
      </c>
      <c r="X28" s="15"/>
      <c r="XDS28" s="19"/>
      <c r="XDT28" s="19"/>
      <c r="XDU28" s="19"/>
      <c r="XDV28" s="19"/>
      <c r="XDW28" s="19"/>
      <c r="XDX28" s="19"/>
      <c r="XDY28" s="19"/>
      <c r="XDZ28" s="19"/>
      <c r="XEA28" s="19"/>
      <c r="XEB28" s="19"/>
    </row>
    <row r="29" s="3" customFormat="1" ht="27" customHeight="1" spans="1:16356">
      <c r="A29" s="9">
        <v>45864</v>
      </c>
      <c r="B29" s="10"/>
      <c r="C29" s="10"/>
      <c r="D29" s="10"/>
      <c r="E29" s="10"/>
      <c r="F29" s="10"/>
      <c r="G29" s="10"/>
      <c r="H29" s="10"/>
      <c r="I29" s="10">
        <v>2829.54</v>
      </c>
      <c r="J29" s="10"/>
      <c r="K29" s="10"/>
      <c r="L29" s="10">
        <v>4716.56</v>
      </c>
      <c r="M29" s="10"/>
      <c r="N29" s="10"/>
      <c r="O29" s="10"/>
      <c r="P29" s="10"/>
      <c r="Q29" s="10"/>
      <c r="R29" s="10"/>
      <c r="S29" s="10"/>
      <c r="T29" s="10"/>
      <c r="U29" s="10">
        <f t="shared" si="0"/>
        <v>7546.1</v>
      </c>
      <c r="V29" s="15">
        <v>5330</v>
      </c>
      <c r="W29" s="16">
        <f t="shared" si="1"/>
        <v>117380.316</v>
      </c>
      <c r="X29" s="15"/>
      <c r="XDS29" s="19"/>
      <c r="XDT29" s="19"/>
      <c r="XDU29" s="19"/>
      <c r="XDV29" s="19"/>
      <c r="XDW29" s="19"/>
      <c r="XDX29" s="19"/>
      <c r="XDY29" s="19"/>
      <c r="XDZ29" s="19"/>
      <c r="XEA29" s="19"/>
      <c r="XEB29" s="19"/>
    </row>
    <row r="30" s="3" customFormat="1" ht="27" customHeight="1" spans="1:16356">
      <c r="A30" s="9">
        <v>45865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>
        <f t="shared" si="0"/>
        <v>0</v>
      </c>
      <c r="V30" s="15">
        <v>6386</v>
      </c>
      <c r="W30" s="16">
        <f t="shared" si="1"/>
        <v>110994.316</v>
      </c>
      <c r="X30" s="15"/>
      <c r="XDS30" s="19"/>
      <c r="XDT30" s="19"/>
      <c r="XDU30" s="19"/>
      <c r="XDV30" s="19"/>
      <c r="XDW30" s="19"/>
      <c r="XDX30" s="19"/>
      <c r="XDY30" s="19"/>
      <c r="XDZ30" s="19"/>
      <c r="XEA30" s="19"/>
      <c r="XEB30" s="19"/>
    </row>
    <row r="31" s="3" customFormat="1" ht="27" customHeight="1" spans="1:16356">
      <c r="A31" s="9">
        <v>45866</v>
      </c>
      <c r="B31" s="10"/>
      <c r="C31" s="10"/>
      <c r="D31" s="10"/>
      <c r="E31" s="10">
        <v>465.58</v>
      </c>
      <c r="F31" s="10">
        <v>1668</v>
      </c>
      <c r="G31" s="10"/>
      <c r="H31" s="10"/>
      <c r="I31" s="10"/>
      <c r="J31" s="10"/>
      <c r="K31" s="10"/>
      <c r="L31" s="10">
        <v>1099.62</v>
      </c>
      <c r="M31" s="10">
        <v>4707.66</v>
      </c>
      <c r="N31" s="10"/>
      <c r="O31" s="10"/>
      <c r="P31" s="10"/>
      <c r="Q31" s="10"/>
      <c r="R31" s="10"/>
      <c r="S31" s="10"/>
      <c r="T31" s="10"/>
      <c r="U31" s="10">
        <f t="shared" si="0"/>
        <v>7940.86</v>
      </c>
      <c r="V31" s="15">
        <v>6077</v>
      </c>
      <c r="W31" s="16">
        <f t="shared" si="1"/>
        <v>112858.176</v>
      </c>
      <c r="X31" s="15"/>
      <c r="XDS31" s="19"/>
      <c r="XDT31" s="19"/>
      <c r="XDU31" s="19"/>
      <c r="XDV31" s="19"/>
      <c r="XDW31" s="19"/>
      <c r="XDX31" s="19"/>
      <c r="XDY31" s="19"/>
      <c r="XDZ31" s="19"/>
      <c r="XEA31" s="19"/>
      <c r="XEB31" s="19"/>
    </row>
    <row r="32" s="3" customFormat="1" ht="27" customHeight="1" spans="1:16356">
      <c r="A32" s="9">
        <v>45867</v>
      </c>
      <c r="B32" s="10"/>
      <c r="C32" s="10"/>
      <c r="D32" s="10"/>
      <c r="E32" s="10">
        <v>354.5</v>
      </c>
      <c r="F32" s="10">
        <v>9.28</v>
      </c>
      <c r="G32" s="10"/>
      <c r="H32" s="10"/>
      <c r="I32" s="10"/>
      <c r="J32" s="10"/>
      <c r="K32" s="10"/>
      <c r="L32" s="10"/>
      <c r="M32" s="10">
        <v>5267.66</v>
      </c>
      <c r="N32" s="10"/>
      <c r="O32" s="10"/>
      <c r="P32" s="10"/>
      <c r="Q32" s="10"/>
      <c r="R32" s="10"/>
      <c r="S32" s="10"/>
      <c r="T32" s="10"/>
      <c r="U32" s="10">
        <f t="shared" si="0"/>
        <v>5631.44</v>
      </c>
      <c r="V32" s="15">
        <v>5535</v>
      </c>
      <c r="W32" s="16">
        <f t="shared" si="1"/>
        <v>112954.616</v>
      </c>
      <c r="X32" s="15"/>
      <c r="XDS32" s="19"/>
      <c r="XDT32" s="19"/>
      <c r="XDU32" s="19"/>
      <c r="XDV32" s="19"/>
      <c r="XDW32" s="19"/>
      <c r="XDX32" s="19"/>
      <c r="XDY32" s="19"/>
      <c r="XDZ32" s="19"/>
      <c r="XEA32" s="19"/>
      <c r="XEB32" s="19"/>
    </row>
    <row r="33" s="3" customFormat="1" ht="26" customHeight="1" spans="1:16356">
      <c r="A33" s="9">
        <v>45868</v>
      </c>
      <c r="B33" s="10"/>
      <c r="C33" s="10"/>
      <c r="D33" s="10"/>
      <c r="E33" s="10">
        <v>581.28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v>7465.64</v>
      </c>
      <c r="S33" s="10"/>
      <c r="T33" s="10"/>
      <c r="U33" s="10">
        <f t="shared" si="0"/>
        <v>8046.92</v>
      </c>
      <c r="V33" s="15">
        <v>4921</v>
      </c>
      <c r="W33" s="16">
        <f t="shared" si="1"/>
        <v>116080.536</v>
      </c>
      <c r="X33" s="15"/>
      <c r="XDS33" s="19"/>
      <c r="XDT33" s="19"/>
      <c r="XDU33" s="19"/>
      <c r="XDV33" s="19"/>
      <c r="XDW33" s="19"/>
      <c r="XDX33" s="19"/>
      <c r="XDY33" s="19"/>
      <c r="XDZ33" s="19"/>
      <c r="XEA33" s="19"/>
      <c r="XEB33" s="19"/>
    </row>
    <row r="34" s="3" customFormat="1" ht="26" customHeight="1" spans="1:16356">
      <c r="A34" s="9">
        <v>45869</v>
      </c>
      <c r="B34" s="10"/>
      <c r="C34" s="10"/>
      <c r="D34" s="10"/>
      <c r="E34" s="10">
        <v>383.3</v>
      </c>
      <c r="F34" s="10"/>
      <c r="G34" s="10"/>
      <c r="H34" s="10"/>
      <c r="I34" s="10">
        <v>2823.46</v>
      </c>
      <c r="J34" s="10"/>
      <c r="K34" s="10"/>
      <c r="L34" s="10"/>
      <c r="M34" s="10"/>
      <c r="N34" s="10"/>
      <c r="O34" s="10"/>
      <c r="P34" s="10">
        <v>4250.8</v>
      </c>
      <c r="Q34" s="10"/>
      <c r="R34" s="10"/>
      <c r="S34" s="10"/>
      <c r="T34" s="10"/>
      <c r="U34" s="10">
        <f>SUM(B34:T34)</f>
        <v>7457.56</v>
      </c>
      <c r="V34" s="15">
        <v>5241</v>
      </c>
      <c r="W34" s="16">
        <f t="shared" si="1"/>
        <v>118297.096</v>
      </c>
      <c r="X34" s="15"/>
      <c r="XDS34" s="19"/>
      <c r="XDT34" s="19"/>
      <c r="XDU34" s="19"/>
      <c r="XDV34" s="19"/>
      <c r="XDW34" s="19"/>
      <c r="XDX34" s="19"/>
      <c r="XDY34" s="19"/>
      <c r="XDZ34" s="19"/>
      <c r="XEA34" s="19"/>
      <c r="XEB34" s="19"/>
    </row>
    <row r="35" s="3" customFormat="1" ht="27" customHeight="1" spans="1:16356">
      <c r="A35" s="12" t="s">
        <v>33</v>
      </c>
      <c r="B35" s="12">
        <f>SUM(B4:B34)</f>
        <v>2425.16</v>
      </c>
      <c r="C35" s="12">
        <f>SUM(C4:C34)</f>
        <v>330.1</v>
      </c>
      <c r="D35" s="12">
        <f>SUM(D4:D34)</f>
        <v>59.72</v>
      </c>
      <c r="E35" s="12">
        <f>SUM(E4:E34)</f>
        <v>6190.48</v>
      </c>
      <c r="F35" s="12">
        <f>SUM(F4:F34)</f>
        <v>3481.32</v>
      </c>
      <c r="G35" s="12">
        <f t="shared" ref="G35:P35" si="2">SUM(G4:G34)</f>
        <v>9990.04</v>
      </c>
      <c r="H35" s="12">
        <f t="shared" si="2"/>
        <v>0</v>
      </c>
      <c r="I35" s="12">
        <f t="shared" si="2"/>
        <v>12714.02</v>
      </c>
      <c r="J35" s="12">
        <f t="shared" si="2"/>
        <v>3599.92</v>
      </c>
      <c r="K35" s="12">
        <f t="shared" si="2"/>
        <v>15752.24</v>
      </c>
      <c r="L35" s="12">
        <f t="shared" si="2"/>
        <v>21117.8</v>
      </c>
      <c r="M35" s="12">
        <f t="shared" si="2"/>
        <v>9975.32</v>
      </c>
      <c r="N35" s="12">
        <f t="shared" si="2"/>
        <v>0</v>
      </c>
      <c r="O35" s="12">
        <f t="shared" si="2"/>
        <v>6973.04</v>
      </c>
      <c r="P35" s="12">
        <f t="shared" si="2"/>
        <v>13556.36</v>
      </c>
      <c r="Q35" s="12">
        <f t="shared" ref="Q35:V35" si="3">SUM(Q4:Q34)</f>
        <v>2039.5</v>
      </c>
      <c r="R35" s="12">
        <f t="shared" si="3"/>
        <v>48421.96</v>
      </c>
      <c r="S35" s="12">
        <f t="shared" si="3"/>
        <v>0</v>
      </c>
      <c r="T35" s="12">
        <f t="shared" si="3"/>
        <v>0</v>
      </c>
      <c r="U35" s="12">
        <f>SUM(U4:U34)</f>
        <v>156626.98</v>
      </c>
      <c r="V35" s="12">
        <f t="shared" si="3"/>
        <v>160601</v>
      </c>
      <c r="W35" s="17">
        <f>W34-X33</f>
        <v>118297.096</v>
      </c>
      <c r="X35" s="15"/>
      <c r="XDS35" s="19"/>
      <c r="XDT35" s="19"/>
      <c r="XDU35" s="19"/>
      <c r="XDV35" s="19"/>
      <c r="XDW35" s="19"/>
      <c r="XDX35" s="19"/>
      <c r="XDY35" s="19"/>
      <c r="XDZ35" s="19"/>
      <c r="XEA35" s="19"/>
      <c r="XEB35" s="19"/>
    </row>
    <row r="36" s="4" customFormat="1" ht="20" customHeight="1" spans="11:16376">
      <c r="K36" s="5"/>
      <c r="L36" s="5"/>
      <c r="M36" s="5"/>
      <c r="W36" s="5"/>
      <c r="XET36" s="6"/>
      <c r="XEU36" s="6"/>
      <c r="XEV36" s="6"/>
    </row>
  </sheetData>
  <mergeCells count="10">
    <mergeCell ref="A1:X1"/>
    <mergeCell ref="B2:F2"/>
    <mergeCell ref="H2:J2"/>
    <mergeCell ref="K2:M2"/>
    <mergeCell ref="O2:P2"/>
    <mergeCell ref="Q2:R2"/>
    <mergeCell ref="S2:T2"/>
    <mergeCell ref="A2:A3"/>
    <mergeCell ref="U2:U3"/>
    <mergeCell ref="V2:V3"/>
  </mergeCells>
  <printOptions horizontalCentered="1" verticalCentered="1"/>
  <pageMargins left="0.196527777777778" right="0.196527777777778" top="0.393055555555556" bottom="0.393055555555556" header="0.101388888888889" footer="0"/>
  <pageSetup paperSize="9" scale="5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梁晶</cp:lastModifiedBy>
  <dcterms:created xsi:type="dcterms:W3CDTF">2022-08-01T22:45:00Z</dcterms:created>
  <dcterms:modified xsi:type="dcterms:W3CDTF">2025-08-01T00:27:11Z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