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gskt-my.sharepoint.com/personal/yangguang_hmrd_tk/Documents/10_2024/05_燃料管理/入厂煤/"/>
    </mc:Choice>
  </mc:AlternateContent>
  <xr:revisionPtr revIDLastSave="147" documentId="11_007197905B10DF490FFB2511595ED87656CFC29B" xr6:coauthVersionLast="47" xr6:coauthVersionMax="47" xr10:uidLastSave="{E279CFAE-1636-4D6B-8A2C-288D145C7059}"/>
  <bookViews>
    <workbookView xWindow="-120" yWindow="-120" windowWidth="29040" windowHeight="15840" xr2:uid="{00000000-000D-0000-FFFF-FFFF00000000}"/>
  </bookViews>
  <sheets>
    <sheet name="明细" sheetId="1" r:id="rId1"/>
    <sheet name="明细 (2)" sheetId="3" r:id="rId2"/>
    <sheet name="运费" sheetId="2" r:id="rId3"/>
  </sheets>
  <definedNames>
    <definedName name="_xlnm._FilterDatabase" localSheetId="0" hidden="1">明细!$A$1:$J$216</definedName>
    <definedName name="_xlnm._FilterDatabase" localSheetId="1" hidden="1">'明细 (2)'!$A$1:$I$218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3" l="1"/>
  <c r="K215" i="1"/>
  <c r="O215" i="1" s="1" a="1"/>
  <c r="O215" i="1" s="1"/>
  <c r="K214" i="1"/>
  <c r="O214" i="1" s="1" a="1"/>
  <c r="O214" i="1" s="1"/>
  <c r="K210" i="1"/>
  <c r="K209" i="1"/>
  <c r="K204" i="1"/>
  <c r="K203" i="1"/>
  <c r="K201" i="1"/>
  <c r="O201" i="1" s="1" a="1"/>
  <c r="O201" i="1" s="1"/>
  <c r="K200" i="1"/>
  <c r="O200" i="1" s="1" a="1"/>
  <c r="O200" i="1" s="1"/>
  <c r="K195" i="1"/>
  <c r="K194" i="1"/>
  <c r="K193" i="1"/>
  <c r="K186" i="1"/>
  <c r="K184" i="1"/>
  <c r="O184" i="1" s="1" a="1"/>
  <c r="O184" i="1" s="1"/>
  <c r="K183" i="1"/>
  <c r="O183" i="1" s="1" a="1"/>
  <c r="O183" i="1" s="1"/>
  <c r="K179" i="1"/>
  <c r="K172" i="1"/>
  <c r="K171" i="1"/>
  <c r="I215" i="1"/>
  <c r="I214" i="1"/>
  <c r="I210" i="1"/>
  <c r="I209" i="1"/>
  <c r="I204" i="1"/>
  <c r="I203" i="1"/>
  <c r="I201" i="1"/>
  <c r="I200" i="1"/>
  <c r="I195" i="1"/>
  <c r="I194" i="1"/>
  <c r="I193" i="1"/>
  <c r="I186" i="1"/>
  <c r="I184" i="1"/>
  <c r="I183" i="1"/>
  <c r="I179" i="1"/>
  <c r="I172" i="1"/>
  <c r="I171" i="1"/>
  <c r="N215" i="1" a="1"/>
  <c r="N215" i="1" s="1"/>
  <c r="N214" i="1" a="1"/>
  <c r="N214" i="1" s="1"/>
  <c r="N210" i="1" a="1"/>
  <c r="N210" i="1" s="1"/>
  <c r="N209" i="1" a="1"/>
  <c r="N209" i="1" s="1"/>
  <c r="N204" i="1" a="1"/>
  <c r="N204" i="1" s="1"/>
  <c r="N203" i="1" a="1"/>
  <c r="N203" i="1" s="1"/>
  <c r="N201" i="1" a="1"/>
  <c r="N201" i="1" s="1"/>
  <c r="N200" i="1" a="1"/>
  <c r="N200" i="1" s="1"/>
  <c r="N195" i="1" a="1"/>
  <c r="N195" i="1" s="1"/>
  <c r="N194" i="1" a="1"/>
  <c r="N194" i="1" s="1"/>
  <c r="N193" i="1" a="1"/>
  <c r="N193" i="1" s="1"/>
  <c r="N186" i="1" a="1"/>
  <c r="N186" i="1" s="1"/>
  <c r="N184" i="1" a="1"/>
  <c r="N184" i="1" s="1"/>
  <c r="N183" i="1" a="1"/>
  <c r="N183" i="1" s="1"/>
  <c r="N179" i="1" a="1"/>
  <c r="N179" i="1" s="1"/>
  <c r="N172" i="1" a="1"/>
  <c r="N172" i="1" s="1"/>
  <c r="O186" i="1" l="1" a="1"/>
  <c r="O186" i="1" s="1"/>
  <c r="O203" i="1" a="1"/>
  <c r="O203" i="1" s="1"/>
  <c r="O171" i="1" a="1"/>
  <c r="O171" i="1" s="1"/>
  <c r="O193" i="1" a="1"/>
  <c r="O193" i="1" s="1"/>
  <c r="O204" i="1" a="1"/>
  <c r="O204" i="1" s="1"/>
  <c r="O172" i="1" a="1"/>
  <c r="O172" i="1" s="1"/>
  <c r="O194" i="1" a="1"/>
  <c r="O194" i="1" s="1"/>
  <c r="O209" i="1" a="1"/>
  <c r="O209" i="1" s="1"/>
  <c r="O179" i="1" a="1"/>
  <c r="O179" i="1" s="1"/>
  <c r="O195" i="1" a="1"/>
  <c r="O195" i="1" s="1"/>
  <c r="O210" i="1" a="1"/>
  <c r="O210" i="1" s="1"/>
  <c r="N216" i="1" a="1"/>
  <c r="N216" i="1" s="1"/>
  <c r="N213" i="1" a="1"/>
  <c r="N213" i="1" s="1"/>
  <c r="N206" i="1" a="1"/>
  <c r="N206" i="1" s="1"/>
  <c r="N202" i="1" a="1"/>
  <c r="N202" i="1" s="1"/>
  <c r="N199" i="1" a="1"/>
  <c r="N199" i="1" s="1"/>
  <c r="N189" i="1" a="1"/>
  <c r="N189" i="1" s="1"/>
  <c r="N185" i="1" a="1"/>
  <c r="N185" i="1" s="1"/>
  <c r="N182" i="1" a="1"/>
  <c r="N182" i="1" s="1"/>
  <c r="N171" i="1" a="1"/>
  <c r="N171" i="1" s="1"/>
  <c r="N170" i="1" a="1"/>
  <c r="N170" i="1" s="1"/>
  <c r="N169" i="1" a="1"/>
  <c r="N169" i="1" s="1"/>
  <c r="N168" i="1" a="1"/>
  <c r="N168" i="1" s="1"/>
  <c r="N165" i="1" a="1"/>
  <c r="N165" i="1" s="1"/>
  <c r="N164" i="1" a="1"/>
  <c r="N164" i="1" s="1"/>
  <c r="N159" i="1" a="1"/>
  <c r="N159" i="1" s="1"/>
  <c r="N156" i="1" a="1"/>
  <c r="N156" i="1" s="1"/>
  <c r="N155" i="1" a="1"/>
  <c r="N155" i="1" s="1"/>
  <c r="N154" i="1" a="1"/>
  <c r="N154" i="1" s="1"/>
  <c r="N153" i="1" a="1"/>
  <c r="N153" i="1" s="1"/>
  <c r="L43" i="3" a="1"/>
  <c r="L43" i="3" s="1"/>
  <c r="L44" i="3" a="1"/>
  <c r="L44" i="3" s="1"/>
  <c r="L45" i="3" a="1"/>
  <c r="L45" i="3" s="1"/>
  <c r="L46" i="3" a="1"/>
  <c r="L46" i="3" s="1"/>
  <c r="L47" i="3" a="1"/>
  <c r="L47" i="3" s="1"/>
  <c r="L48" i="3" a="1"/>
  <c r="L48" i="3" s="1"/>
  <c r="L49" i="3" a="1"/>
  <c r="L49" i="3"/>
  <c r="L50" i="3" a="1"/>
  <c r="L50" i="3" s="1"/>
  <c r="L51" i="3" a="1"/>
  <c r="L51" i="3" s="1"/>
  <c r="L52" i="3" a="1"/>
  <c r="L52" i="3" s="1"/>
  <c r="L53" i="3" a="1"/>
  <c r="L53" i="3" s="1"/>
  <c r="L54" i="3" a="1"/>
  <c r="L54" i="3"/>
  <c r="L55" i="3" a="1"/>
  <c r="L55" i="3" s="1"/>
  <c r="L56" i="3" a="1"/>
  <c r="L56" i="3" s="1"/>
  <c r="L57" i="3" a="1"/>
  <c r="L57" i="3" s="1"/>
  <c r="L58" i="3" a="1"/>
  <c r="L58" i="3" s="1"/>
  <c r="L59" i="3" a="1"/>
  <c r="L59" i="3" s="1"/>
  <c r="L60" i="3" a="1"/>
  <c r="L60" i="3" s="1"/>
  <c r="L61" i="3" a="1"/>
  <c r="L61" i="3"/>
  <c r="L62" i="3" a="1"/>
  <c r="L62" i="3" s="1"/>
  <c r="L63" i="3" a="1"/>
  <c r="L63" i="3" s="1"/>
  <c r="L64" i="3" a="1"/>
  <c r="L64" i="3" s="1"/>
  <c r="L65" i="3" a="1"/>
  <c r="L65" i="3" s="1"/>
  <c r="L66" i="3" a="1"/>
  <c r="L66" i="3"/>
  <c r="L67" i="3" a="1"/>
  <c r="L67" i="3" s="1"/>
  <c r="L68" i="3" a="1"/>
  <c r="L68" i="3" s="1"/>
  <c r="L69" i="3" a="1"/>
  <c r="L69" i="3" s="1"/>
  <c r="L70" i="3" a="1"/>
  <c r="L70" i="3" s="1"/>
  <c r="L71" i="3" a="1"/>
  <c r="L71" i="3" s="1"/>
  <c r="L72" i="3" a="1"/>
  <c r="L72" i="3" s="1"/>
  <c r="L73" i="3" a="1"/>
  <c r="L73" i="3" s="1"/>
  <c r="L74" i="3" a="1"/>
  <c r="L74" i="3" s="1"/>
  <c r="L75" i="3" a="1"/>
  <c r="L75" i="3" s="1"/>
  <c r="L76" i="3" a="1"/>
  <c r="L76" i="3" s="1"/>
  <c r="L77" i="3" a="1"/>
  <c r="L77" i="3" s="1"/>
  <c r="L78" i="3" a="1"/>
  <c r="L78" i="3"/>
  <c r="L79" i="3" a="1"/>
  <c r="L79" i="3" s="1"/>
  <c r="L80" i="3" a="1"/>
  <c r="L80" i="3" s="1"/>
  <c r="L81" i="3" a="1"/>
  <c r="L81" i="3" s="1"/>
  <c r="L82" i="3" a="1"/>
  <c r="L82" i="3" s="1"/>
  <c r="L83" i="3" a="1"/>
  <c r="L83" i="3" s="1"/>
  <c r="L84" i="3" a="1"/>
  <c r="L84" i="3" s="1"/>
  <c r="L85" i="3" a="1"/>
  <c r="L85" i="3" s="1"/>
  <c r="L86" i="3" a="1"/>
  <c r="L86" i="3" s="1"/>
  <c r="L87" i="3" a="1"/>
  <c r="L87" i="3" s="1"/>
  <c r="L88" i="3" a="1"/>
  <c r="L88" i="3" s="1"/>
  <c r="L89" i="3" a="1"/>
  <c r="L89" i="3" s="1"/>
  <c r="L90" i="3" a="1"/>
  <c r="L90" i="3"/>
  <c r="L91" i="3" a="1"/>
  <c r="L91" i="3" s="1"/>
  <c r="L92" i="3" a="1"/>
  <c r="L92" i="3" s="1"/>
  <c r="L93" i="3" a="1"/>
  <c r="L93" i="3" s="1"/>
  <c r="L94" i="3" a="1"/>
  <c r="L94" i="3" s="1"/>
  <c r="L95" i="3" a="1"/>
  <c r="L95" i="3" s="1"/>
  <c r="L96" i="3" a="1"/>
  <c r="L96" i="3" s="1"/>
  <c r="L97" i="3" a="1"/>
  <c r="L97" i="3" s="1"/>
  <c r="L98" i="3" a="1"/>
  <c r="L98" i="3" s="1"/>
  <c r="L99" i="3" a="1"/>
  <c r="L99" i="3" s="1"/>
  <c r="L100" i="3" a="1"/>
  <c r="L100" i="3" s="1"/>
  <c r="L101" i="3" a="1"/>
  <c r="L101" i="3" s="1"/>
  <c r="L102" i="3" a="1"/>
  <c r="L102" i="3"/>
  <c r="L103" i="3" a="1"/>
  <c r="L103" i="3" s="1"/>
  <c r="L104" i="3" a="1"/>
  <c r="L104" i="3" s="1"/>
  <c r="L105" i="3" a="1"/>
  <c r="L105" i="3" s="1"/>
  <c r="L106" i="3" a="1"/>
  <c r="L106" i="3" s="1"/>
  <c r="L107" i="3" a="1"/>
  <c r="L107" i="3" s="1"/>
  <c r="L108" i="3" a="1"/>
  <c r="L108" i="3" s="1"/>
  <c r="L109" i="3" a="1"/>
  <c r="L109" i="3" s="1"/>
  <c r="L110" i="3" a="1"/>
  <c r="L110" i="3" s="1"/>
  <c r="L111" i="3" a="1"/>
  <c r="L111" i="3" s="1"/>
  <c r="L112" i="3" a="1"/>
  <c r="L112" i="3" s="1"/>
  <c r="L113" i="3" a="1"/>
  <c r="L113" i="3" s="1"/>
  <c r="L114" i="3" a="1"/>
  <c r="L114" i="3"/>
  <c r="L115" i="3" a="1"/>
  <c r="L115" i="3" s="1"/>
  <c r="L116" i="3" a="1"/>
  <c r="L116" i="3" s="1"/>
  <c r="L117" i="3" a="1"/>
  <c r="L117" i="3" s="1"/>
  <c r="L118" i="3" a="1"/>
  <c r="L118" i="3" s="1"/>
  <c r="L119" i="3" a="1"/>
  <c r="L119" i="3" s="1"/>
  <c r="L120" i="3" a="1"/>
  <c r="L120" i="3" s="1"/>
  <c r="L121" i="3" a="1"/>
  <c r="L121" i="3" s="1"/>
  <c r="L122" i="3" a="1"/>
  <c r="L122" i="3" s="1"/>
  <c r="L123" i="3" a="1"/>
  <c r="L123" i="3" s="1"/>
  <c r="L124" i="3" a="1"/>
  <c r="L124" i="3" s="1"/>
  <c r="L125" i="3" a="1"/>
  <c r="L125" i="3" s="1"/>
  <c r="L126" i="3" a="1"/>
  <c r="L126" i="3"/>
  <c r="L127" i="3" a="1"/>
  <c r="L127" i="3" s="1"/>
  <c r="L128" i="3" a="1"/>
  <c r="L128" i="3" s="1"/>
  <c r="L129" i="3" a="1"/>
  <c r="L129" i="3" s="1"/>
  <c r="L130" i="3" a="1"/>
  <c r="L130" i="3" s="1"/>
  <c r="L131" i="3" a="1"/>
  <c r="L131" i="3" s="1"/>
  <c r="L132" i="3" a="1"/>
  <c r="L132" i="3" s="1"/>
  <c r="L133" i="3" a="1"/>
  <c r="L133" i="3" s="1"/>
  <c r="L134" i="3" a="1"/>
  <c r="L134" i="3" s="1"/>
  <c r="L135" i="3" a="1"/>
  <c r="L135" i="3" s="1"/>
  <c r="L136" i="3" a="1"/>
  <c r="L136" i="3" s="1"/>
  <c r="L137" i="3" a="1"/>
  <c r="L137" i="3" s="1"/>
  <c r="L138" i="3" a="1"/>
  <c r="L138" i="3"/>
  <c r="L139" i="3" a="1"/>
  <c r="L139" i="3" s="1"/>
  <c r="L140" i="3" a="1"/>
  <c r="L140" i="3" s="1"/>
  <c r="L141" i="3" a="1"/>
  <c r="L141" i="3" s="1"/>
  <c r="L142" i="3" a="1"/>
  <c r="L142" i="3" s="1"/>
  <c r="L143" i="3" a="1"/>
  <c r="L143" i="3" s="1"/>
  <c r="L144" i="3" a="1"/>
  <c r="L144" i="3" s="1"/>
  <c r="L145" i="3" a="1"/>
  <c r="L145" i="3" s="1"/>
  <c r="L146" i="3" a="1"/>
  <c r="L146" i="3" s="1"/>
  <c r="L147" i="3" a="1"/>
  <c r="L147" i="3" s="1"/>
  <c r="L148" i="3" a="1"/>
  <c r="L148" i="3" s="1"/>
  <c r="L149" i="3" a="1"/>
  <c r="L149" i="3" s="1"/>
  <c r="L150" i="3" a="1"/>
  <c r="L150" i="3"/>
  <c r="L151" i="3" a="1"/>
  <c r="L151" i="3" s="1"/>
  <c r="L152" i="3" a="1"/>
  <c r="L152" i="3" s="1"/>
  <c r="L153" i="3" a="1"/>
  <c r="L153" i="3" s="1"/>
  <c r="L154" i="3" a="1"/>
  <c r="L154" i="3" s="1"/>
  <c r="L155" i="3" a="1"/>
  <c r="L155" i="3" s="1"/>
  <c r="L156" i="3" a="1"/>
  <c r="L156" i="3" s="1"/>
  <c r="L157" i="3" a="1"/>
  <c r="L157" i="3" s="1"/>
  <c r="L158" i="3" a="1"/>
  <c r="L158" i="3" s="1"/>
  <c r="L159" i="3" a="1"/>
  <c r="L159" i="3" s="1"/>
  <c r="L160" i="3" a="1"/>
  <c r="L160" i="3" s="1"/>
  <c r="L161" i="3" a="1"/>
  <c r="L161" i="3" s="1"/>
  <c r="L162" i="3" a="1"/>
  <c r="L162" i="3"/>
  <c r="L163" i="3" a="1"/>
  <c r="L163" i="3" s="1"/>
  <c r="L164" i="3" a="1"/>
  <c r="L164" i="3" s="1"/>
  <c r="L165" i="3" a="1"/>
  <c r="L165" i="3" s="1"/>
  <c r="L166" i="3" a="1"/>
  <c r="L166" i="3" s="1"/>
  <c r="L167" i="3" a="1"/>
  <c r="L167" i="3" s="1"/>
  <c r="L168" i="3" a="1"/>
  <c r="L168" i="3" s="1"/>
  <c r="L169" i="3" a="1"/>
  <c r="L169" i="3" s="1"/>
  <c r="L170" i="3" a="1"/>
  <c r="L170" i="3" s="1"/>
  <c r="L171" i="3" a="1"/>
  <c r="L171" i="3" s="1"/>
  <c r="L172" i="3" a="1"/>
  <c r="L172" i="3" s="1"/>
  <c r="L173" i="3" a="1"/>
  <c r="L173" i="3" s="1"/>
  <c r="L174" i="3" a="1"/>
  <c r="L174" i="3"/>
  <c r="L175" i="3" a="1"/>
  <c r="L175" i="3" s="1"/>
  <c r="L176" i="3" a="1"/>
  <c r="L176" i="3" s="1"/>
  <c r="L177" i="3" a="1"/>
  <c r="L177" i="3" s="1"/>
  <c r="L178" i="3" a="1"/>
  <c r="L178" i="3" s="1"/>
  <c r="L179" i="3" a="1"/>
  <c r="L179" i="3" s="1"/>
  <c r="L180" i="3" a="1"/>
  <c r="L180" i="3" s="1"/>
  <c r="L181" i="3" a="1"/>
  <c r="L181" i="3" s="1"/>
  <c r="L182" i="3" a="1"/>
  <c r="L182" i="3" s="1"/>
  <c r="L183" i="3" a="1"/>
  <c r="L183" i="3" s="1"/>
  <c r="L184" i="3" a="1"/>
  <c r="L184" i="3" s="1"/>
  <c r="L185" i="3" a="1"/>
  <c r="L185" i="3" s="1"/>
  <c r="L186" i="3" a="1"/>
  <c r="L186" i="3"/>
  <c r="L187" i="3" a="1"/>
  <c r="L187" i="3" s="1"/>
  <c r="L188" i="3" a="1"/>
  <c r="L188" i="3" s="1"/>
  <c r="L189" i="3" a="1"/>
  <c r="L189" i="3" s="1"/>
  <c r="L190" i="3" a="1"/>
  <c r="L190" i="3" s="1"/>
  <c r="L191" i="3" a="1"/>
  <c r="L191" i="3" s="1"/>
  <c r="L192" i="3" a="1"/>
  <c r="L192" i="3" s="1"/>
  <c r="L193" i="3" a="1"/>
  <c r="L193" i="3" s="1"/>
  <c r="L194" i="3" a="1"/>
  <c r="L194" i="3" s="1"/>
  <c r="L195" i="3" a="1"/>
  <c r="L195" i="3" s="1"/>
  <c r="L196" i="3" a="1"/>
  <c r="L196" i="3" s="1"/>
  <c r="L197" i="3" a="1"/>
  <c r="L197" i="3" s="1"/>
  <c r="L198" i="3" a="1"/>
  <c r="L198" i="3"/>
  <c r="L199" i="3" a="1"/>
  <c r="L199" i="3" s="1"/>
  <c r="L200" i="3" a="1"/>
  <c r="L200" i="3" s="1"/>
  <c r="L201" i="3" a="1"/>
  <c r="L201" i="3" s="1"/>
  <c r="L202" i="3" a="1"/>
  <c r="L202" i="3" s="1"/>
  <c r="L203" i="3" a="1"/>
  <c r="L203" i="3" s="1"/>
  <c r="L204" i="3" a="1"/>
  <c r="L204" i="3" s="1"/>
  <c r="L205" i="3" a="1"/>
  <c r="L205" i="3" s="1"/>
  <c r="L206" i="3" a="1"/>
  <c r="L206" i="3" s="1"/>
  <c r="L207" i="3" a="1"/>
  <c r="L207" i="3" s="1"/>
  <c r="L208" i="3" a="1"/>
  <c r="L208" i="3" s="1"/>
  <c r="L209" i="3" a="1"/>
  <c r="L209" i="3" s="1"/>
  <c r="L210" i="3" a="1"/>
  <c r="L210" i="3"/>
  <c r="L211" i="3" a="1"/>
  <c r="L211" i="3" s="1"/>
  <c r="L212" i="3" a="1"/>
  <c r="L212" i="3" s="1"/>
  <c r="L213" i="3" a="1"/>
  <c r="L213" i="3" s="1"/>
  <c r="L214" i="3" a="1"/>
  <c r="L214" i="3" s="1"/>
  <c r="L215" i="3" a="1"/>
  <c r="L215" i="3" s="1"/>
  <c r="L216" i="3" a="1"/>
  <c r="L216" i="3" s="1"/>
  <c r="L3" i="3" a="1"/>
  <c r="L3" i="3"/>
  <c r="L4" i="3" a="1"/>
  <c r="L4" i="3"/>
  <c r="L5" i="3" a="1"/>
  <c r="L5" i="3" s="1"/>
  <c r="L6" i="3" a="1"/>
  <c r="L6" i="3"/>
  <c r="L7" i="3" a="1"/>
  <c r="L7" i="3" s="1"/>
  <c r="L8" i="3" a="1"/>
  <c r="L8" i="3" s="1"/>
  <c r="L9" i="3" a="1"/>
  <c r="L9" i="3"/>
  <c r="L10" i="3" a="1"/>
  <c r="L10" i="3" s="1"/>
  <c r="L11" i="3" a="1"/>
  <c r="L11" i="3" s="1"/>
  <c r="L12" i="3" a="1"/>
  <c r="L12" i="3"/>
  <c r="L13" i="3" a="1"/>
  <c r="L13" i="3" s="1"/>
  <c r="L14" i="3" a="1"/>
  <c r="L14" i="3"/>
  <c r="L15" i="3" a="1"/>
  <c r="L15" i="3"/>
  <c r="L16" i="3" a="1"/>
  <c r="L16" i="3" s="1"/>
  <c r="L17" i="3" a="1"/>
  <c r="L17" i="3" s="1"/>
  <c r="L18" i="3" a="1"/>
  <c r="L18" i="3"/>
  <c r="L19" i="3" a="1"/>
  <c r="L19" i="3" s="1"/>
  <c r="L20" i="3" a="1"/>
  <c r="L20" i="3" s="1"/>
  <c r="L21" i="3" a="1"/>
  <c r="L21" i="3"/>
  <c r="L22" i="3" a="1"/>
  <c r="L22" i="3" s="1"/>
  <c r="L23" i="3" a="1"/>
  <c r="L23" i="3" s="1"/>
  <c r="L24" i="3" a="1"/>
  <c r="L24" i="3" s="1"/>
  <c r="L25" i="3" a="1"/>
  <c r="L25" i="3" s="1"/>
  <c r="L26" i="3" a="1"/>
  <c r="L26" i="3"/>
  <c r="L27" i="3" a="1"/>
  <c r="L27" i="3"/>
  <c r="L28" i="3" a="1"/>
  <c r="L28" i="3" s="1"/>
  <c r="L29" i="3" a="1"/>
  <c r="L29" i="3" s="1"/>
  <c r="L30" i="3" a="1"/>
  <c r="L30" i="3"/>
  <c r="L31" i="3" a="1"/>
  <c r="L31" i="3" s="1"/>
  <c r="L32" i="3" a="1"/>
  <c r="L32" i="3" s="1"/>
  <c r="L33" i="3" a="1"/>
  <c r="L33" i="3"/>
  <c r="L34" i="3" a="1"/>
  <c r="L34" i="3" s="1"/>
  <c r="L35" i="3" a="1"/>
  <c r="L35" i="3" s="1"/>
  <c r="L36" i="3" a="1"/>
  <c r="L36" i="3" s="1"/>
  <c r="L37" i="3" a="1"/>
  <c r="L37" i="3" s="1"/>
  <c r="L38" i="3" a="1"/>
  <c r="L38" i="3"/>
  <c r="L39" i="3" a="1"/>
  <c r="L39" i="3"/>
  <c r="L40" i="3" a="1"/>
  <c r="L40" i="3" s="1"/>
  <c r="L41" i="3" a="1"/>
  <c r="L41" i="3" s="1"/>
  <c r="L42" i="3" a="1"/>
  <c r="L42" i="3"/>
  <c r="L2" i="3" a="1"/>
  <c r="L2" i="3" s="1"/>
  <c r="M5" i="3"/>
  <c r="M2" i="3"/>
  <c r="J216" i="3"/>
  <c r="K216" i="3" s="1"/>
  <c r="J215" i="3"/>
  <c r="K215" i="3" s="1"/>
  <c r="J214" i="3"/>
  <c r="K214" i="3" s="1"/>
  <c r="J213" i="3"/>
  <c r="K213" i="3" s="1"/>
  <c r="J212" i="3"/>
  <c r="K212" i="3" s="1"/>
  <c r="J211" i="3"/>
  <c r="K211" i="3" s="1"/>
  <c r="J210" i="3"/>
  <c r="K210" i="3" s="1"/>
  <c r="J209" i="3"/>
  <c r="K209" i="3" s="1"/>
  <c r="J208" i="3"/>
  <c r="K208" i="3" s="1"/>
  <c r="J207" i="3"/>
  <c r="K207" i="3" s="1"/>
  <c r="J206" i="3"/>
  <c r="K206" i="3" s="1"/>
  <c r="J205" i="3"/>
  <c r="K205" i="3" s="1"/>
  <c r="J204" i="3"/>
  <c r="K204" i="3" s="1"/>
  <c r="J203" i="3"/>
  <c r="K203" i="3" s="1"/>
  <c r="J202" i="3"/>
  <c r="K202" i="3" s="1"/>
  <c r="J201" i="3"/>
  <c r="K201" i="3" s="1"/>
  <c r="J200" i="3"/>
  <c r="K200" i="3" s="1"/>
  <c r="J199" i="3"/>
  <c r="K199" i="3" s="1"/>
  <c r="J198" i="3"/>
  <c r="K198" i="3" s="1"/>
  <c r="J197" i="3"/>
  <c r="K197" i="3" s="1"/>
  <c r="J196" i="3"/>
  <c r="K196" i="3" s="1"/>
  <c r="J195" i="3"/>
  <c r="K195" i="3" s="1"/>
  <c r="J194" i="3"/>
  <c r="K194" i="3" s="1"/>
  <c r="J193" i="3"/>
  <c r="K193" i="3" s="1"/>
  <c r="K192" i="3"/>
  <c r="J192" i="3"/>
  <c r="J191" i="3"/>
  <c r="K191" i="3" s="1"/>
  <c r="J190" i="3"/>
  <c r="K190" i="3" s="1"/>
  <c r="J189" i="3"/>
  <c r="K189" i="3" s="1"/>
  <c r="J188" i="3"/>
  <c r="K188" i="3" s="1"/>
  <c r="J187" i="3"/>
  <c r="K187" i="3" s="1"/>
  <c r="J186" i="3"/>
  <c r="K186" i="3" s="1"/>
  <c r="J185" i="3"/>
  <c r="K185" i="3" s="1"/>
  <c r="J184" i="3"/>
  <c r="K184" i="3" s="1"/>
  <c r="J183" i="3"/>
  <c r="K183" i="3" s="1"/>
  <c r="J182" i="3"/>
  <c r="K182" i="3" s="1"/>
  <c r="J181" i="3"/>
  <c r="K181" i="3" s="1"/>
  <c r="J180" i="3"/>
  <c r="K180" i="3" s="1"/>
  <c r="J179" i="3"/>
  <c r="K179" i="3" s="1"/>
  <c r="J178" i="3"/>
  <c r="K178" i="3" s="1"/>
  <c r="K177" i="3"/>
  <c r="J177" i="3"/>
  <c r="J176" i="3"/>
  <c r="K176" i="3" s="1"/>
  <c r="J175" i="3"/>
  <c r="K175" i="3" s="1"/>
  <c r="J174" i="3"/>
  <c r="K174" i="3" s="1"/>
  <c r="J173" i="3"/>
  <c r="K173" i="3" s="1"/>
  <c r="J172" i="3"/>
  <c r="K172" i="3" s="1"/>
  <c r="J171" i="3"/>
  <c r="K171" i="3" s="1"/>
  <c r="K170" i="3"/>
  <c r="J170" i="3"/>
  <c r="J169" i="3"/>
  <c r="K169" i="3" s="1"/>
  <c r="J168" i="3"/>
  <c r="K168" i="3" s="1"/>
  <c r="J167" i="3"/>
  <c r="K167" i="3" s="1"/>
  <c r="J166" i="3"/>
  <c r="K166" i="3" s="1"/>
  <c r="J165" i="3"/>
  <c r="K165" i="3" s="1"/>
  <c r="J164" i="3"/>
  <c r="K164" i="3" s="1"/>
  <c r="J163" i="3"/>
  <c r="K163" i="3" s="1"/>
  <c r="J162" i="3"/>
  <c r="K162" i="3" s="1"/>
  <c r="J161" i="3"/>
  <c r="K161" i="3" s="1"/>
  <c r="J160" i="3"/>
  <c r="K160" i="3" s="1"/>
  <c r="K159" i="3"/>
  <c r="J159" i="3"/>
  <c r="K158" i="3"/>
  <c r="J158" i="3"/>
  <c r="J157" i="3"/>
  <c r="K157" i="3" s="1"/>
  <c r="J156" i="3"/>
  <c r="K156" i="3" s="1"/>
  <c r="J155" i="3"/>
  <c r="K155" i="3" s="1"/>
  <c r="J154" i="3"/>
  <c r="K154" i="3" s="1"/>
  <c r="J153" i="3"/>
  <c r="K153" i="3" s="1"/>
  <c r="J152" i="3"/>
  <c r="K152" i="3" s="1"/>
  <c r="J151" i="3"/>
  <c r="K151" i="3" s="1"/>
  <c r="J150" i="3"/>
  <c r="K150" i="3" s="1"/>
  <c r="J149" i="3"/>
  <c r="K149" i="3" s="1"/>
  <c r="J148" i="3"/>
  <c r="K148" i="3" s="1"/>
  <c r="K147" i="3"/>
  <c r="J147" i="3"/>
  <c r="K146" i="3"/>
  <c r="J146" i="3"/>
  <c r="J145" i="3"/>
  <c r="K145" i="3" s="1"/>
  <c r="J144" i="3"/>
  <c r="K144" i="3" s="1"/>
  <c r="K143" i="3"/>
  <c r="J143" i="3"/>
  <c r="J142" i="3"/>
  <c r="K142" i="3" s="1"/>
  <c r="K141" i="3"/>
  <c r="J141" i="3"/>
  <c r="J140" i="3"/>
  <c r="K140" i="3" s="1"/>
  <c r="J139" i="3"/>
  <c r="K139" i="3" s="1"/>
  <c r="J138" i="3"/>
  <c r="K138" i="3" s="1"/>
  <c r="J137" i="3"/>
  <c r="K137" i="3" s="1"/>
  <c r="J136" i="3"/>
  <c r="K136" i="3" s="1"/>
  <c r="J135" i="3"/>
  <c r="K135" i="3" s="1"/>
  <c r="K134" i="3"/>
  <c r="J134" i="3"/>
  <c r="J133" i="3"/>
  <c r="K133" i="3" s="1"/>
  <c r="J132" i="3"/>
  <c r="K132" i="3" s="1"/>
  <c r="J131" i="3"/>
  <c r="K131" i="3" s="1"/>
  <c r="J130" i="3"/>
  <c r="K130" i="3" s="1"/>
  <c r="K129" i="3"/>
  <c r="J129" i="3"/>
  <c r="J128" i="3"/>
  <c r="K128" i="3" s="1"/>
  <c r="J127" i="3"/>
  <c r="K127" i="3" s="1"/>
  <c r="J126" i="3"/>
  <c r="K126" i="3" s="1"/>
  <c r="J125" i="3"/>
  <c r="K125" i="3" s="1"/>
  <c r="J124" i="3"/>
  <c r="K124" i="3" s="1"/>
  <c r="J123" i="3"/>
  <c r="K123" i="3" s="1"/>
  <c r="J122" i="3"/>
  <c r="K122" i="3" s="1"/>
  <c r="J121" i="3"/>
  <c r="K121" i="3" s="1"/>
  <c r="J120" i="3"/>
  <c r="K120" i="3" s="1"/>
  <c r="K119" i="3"/>
  <c r="J119" i="3"/>
  <c r="J118" i="3"/>
  <c r="K118" i="3" s="1"/>
  <c r="J117" i="3"/>
  <c r="K117" i="3" s="1"/>
  <c r="K116" i="3"/>
  <c r="J116" i="3"/>
  <c r="J115" i="3"/>
  <c r="K115" i="3" s="1"/>
  <c r="J114" i="3"/>
  <c r="K114" i="3" s="1"/>
  <c r="J113" i="3"/>
  <c r="K113" i="3" s="1"/>
  <c r="J112" i="3"/>
  <c r="K112" i="3" s="1"/>
  <c r="J111" i="3"/>
  <c r="K111" i="3" s="1"/>
  <c r="K110" i="3"/>
  <c r="J110" i="3"/>
  <c r="J109" i="3"/>
  <c r="K109" i="3" s="1"/>
  <c r="J108" i="3"/>
  <c r="K108" i="3" s="1"/>
  <c r="J107" i="3"/>
  <c r="K107" i="3" s="1"/>
  <c r="J106" i="3"/>
  <c r="K106" i="3" s="1"/>
  <c r="J105" i="3"/>
  <c r="K105" i="3" s="1"/>
  <c r="J104" i="3"/>
  <c r="K104" i="3" s="1"/>
  <c r="J103" i="3"/>
  <c r="K103" i="3" s="1"/>
  <c r="J102" i="3"/>
  <c r="K102" i="3" s="1"/>
  <c r="J101" i="3"/>
  <c r="K101" i="3" s="1"/>
  <c r="J100" i="3"/>
  <c r="K100" i="3" s="1"/>
  <c r="J99" i="3"/>
  <c r="K99" i="3" s="1"/>
  <c r="J98" i="3"/>
  <c r="K98" i="3" s="1"/>
  <c r="J97" i="3"/>
  <c r="K97" i="3" s="1"/>
  <c r="J96" i="3"/>
  <c r="K96" i="3" s="1"/>
  <c r="K95" i="3"/>
  <c r="J95" i="3"/>
  <c r="J94" i="3"/>
  <c r="K94" i="3" s="1"/>
  <c r="J93" i="3"/>
  <c r="K93" i="3" s="1"/>
  <c r="J92" i="3"/>
  <c r="K92" i="3" s="1"/>
  <c r="J91" i="3"/>
  <c r="K91" i="3" s="1"/>
  <c r="J90" i="3"/>
  <c r="K90" i="3" s="1"/>
  <c r="J89" i="3"/>
  <c r="K89" i="3" s="1"/>
  <c r="J88" i="3"/>
  <c r="K88" i="3" s="1"/>
  <c r="J87" i="3"/>
  <c r="K87" i="3" s="1"/>
  <c r="J86" i="3"/>
  <c r="K86" i="3" s="1"/>
  <c r="J85" i="3"/>
  <c r="K85" i="3" s="1"/>
  <c r="K84" i="3"/>
  <c r="J84" i="3"/>
  <c r="J83" i="3"/>
  <c r="K83" i="3" s="1"/>
  <c r="J82" i="3"/>
  <c r="K82" i="3" s="1"/>
  <c r="J81" i="3"/>
  <c r="K81" i="3" s="1"/>
  <c r="J80" i="3"/>
  <c r="K80" i="3" s="1"/>
  <c r="J79" i="3"/>
  <c r="K79" i="3" s="1"/>
  <c r="J78" i="3"/>
  <c r="K78" i="3" s="1"/>
  <c r="J77" i="3"/>
  <c r="K77" i="3" s="1"/>
  <c r="J76" i="3"/>
  <c r="K76" i="3" s="1"/>
  <c r="J75" i="3"/>
  <c r="K75" i="3" s="1"/>
  <c r="J74" i="3"/>
  <c r="K74" i="3" s="1"/>
  <c r="J73" i="3"/>
  <c r="K73" i="3" s="1"/>
  <c r="J72" i="3"/>
  <c r="K72" i="3" s="1"/>
  <c r="J71" i="3"/>
  <c r="K71" i="3" s="1"/>
  <c r="J70" i="3"/>
  <c r="K70" i="3" s="1"/>
  <c r="J69" i="3"/>
  <c r="K69" i="3" s="1"/>
  <c r="J68" i="3"/>
  <c r="K68" i="3" s="1"/>
  <c r="J67" i="3"/>
  <c r="K67" i="3" s="1"/>
  <c r="J66" i="3"/>
  <c r="K66" i="3" s="1"/>
  <c r="J65" i="3"/>
  <c r="K65" i="3" s="1"/>
  <c r="J64" i="3"/>
  <c r="K64" i="3" s="1"/>
  <c r="J63" i="3"/>
  <c r="K63" i="3" s="1"/>
  <c r="J62" i="3"/>
  <c r="K62" i="3" s="1"/>
  <c r="J61" i="3"/>
  <c r="K61" i="3" s="1"/>
  <c r="J60" i="3"/>
  <c r="K60" i="3" s="1"/>
  <c r="J59" i="3"/>
  <c r="K59" i="3" s="1"/>
  <c r="J58" i="3"/>
  <c r="K58" i="3" s="1"/>
  <c r="J57" i="3"/>
  <c r="K57" i="3" s="1"/>
  <c r="J56" i="3"/>
  <c r="K56" i="3" s="1"/>
  <c r="J55" i="3"/>
  <c r="K55" i="3" s="1"/>
  <c r="J54" i="3"/>
  <c r="K54" i="3" s="1"/>
  <c r="J53" i="3"/>
  <c r="K53" i="3" s="1"/>
  <c r="J52" i="3"/>
  <c r="K52" i="3" s="1"/>
  <c r="J51" i="3"/>
  <c r="K51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K44" i="3"/>
  <c r="J44" i="3"/>
  <c r="J43" i="3"/>
  <c r="K43" i="3" s="1"/>
  <c r="J42" i="3"/>
  <c r="K42" i="3" s="1"/>
  <c r="J41" i="3"/>
  <c r="K41" i="3" s="1"/>
  <c r="J40" i="3"/>
  <c r="K40" i="3" s="1"/>
  <c r="J39" i="3"/>
  <c r="K39" i="3" s="1"/>
  <c r="J38" i="3"/>
  <c r="K38" i="3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K18" i="3"/>
  <c r="J18" i="3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J6" i="3"/>
  <c r="K6" i="3" s="1"/>
  <c r="J5" i="3"/>
  <c r="K5" i="3" s="1"/>
  <c r="J4" i="3"/>
  <c r="K4" i="3" s="1"/>
  <c r="J3" i="3"/>
  <c r="K3" i="3" s="1"/>
  <c r="J2" i="3"/>
  <c r="K2" i="3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7" i="1" a="1"/>
  <c r="N157" i="1" s="1"/>
  <c r="N158" i="1" a="1"/>
  <c r="N158" i="1" s="1"/>
  <c r="N160" i="1" a="1"/>
  <c r="N160" i="1" s="1"/>
  <c r="N161" i="1" a="1"/>
  <c r="N161" i="1" s="1"/>
  <c r="N162" i="1" a="1"/>
  <c r="N162" i="1" s="1"/>
  <c r="N163" i="1" a="1"/>
  <c r="N163" i="1" s="1"/>
  <c r="N166" i="1" a="1"/>
  <c r="N166" i="1" s="1"/>
  <c r="N167" i="1" a="1"/>
  <c r="N167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80" i="1" a="1"/>
  <c r="N180" i="1" s="1"/>
  <c r="N181" i="1" a="1"/>
  <c r="N181" i="1" s="1"/>
  <c r="N187" i="1" a="1"/>
  <c r="N187" i="1" s="1"/>
  <c r="N188" i="1" a="1"/>
  <c r="N188" i="1" s="1"/>
  <c r="N190" i="1" a="1"/>
  <c r="N190" i="1" s="1"/>
  <c r="N191" i="1" a="1"/>
  <c r="N191" i="1" s="1"/>
  <c r="N192" i="1" a="1"/>
  <c r="N192" i="1" s="1"/>
  <c r="N196" i="1" a="1"/>
  <c r="N196" i="1" s="1"/>
  <c r="N197" i="1" a="1"/>
  <c r="N197" i="1" s="1"/>
  <c r="N198" i="1" a="1"/>
  <c r="N198" i="1" s="1"/>
  <c r="N205" i="1" a="1"/>
  <c r="N205" i="1" s="1"/>
  <c r="N207" i="1" a="1"/>
  <c r="N207" i="1" s="1"/>
  <c r="N208" i="1" a="1"/>
  <c r="N208" i="1" s="1"/>
  <c r="N211" i="1" a="1"/>
  <c r="N211" i="1" s="1"/>
  <c r="N212" i="1" a="1"/>
  <c r="N212" i="1" s="1"/>
  <c r="N2" i="1" a="1"/>
  <c r="N2" i="1" s="1"/>
  <c r="L217" i="3" l="1"/>
  <c r="K217" i="3"/>
  <c r="K218" i="3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" i="1"/>
  <c r="M2" i="1" s="1"/>
  <c r="C36" i="2"/>
  <c r="C35" i="2"/>
  <c r="C34" i="2"/>
  <c r="C33" i="2"/>
  <c r="C32" i="2"/>
  <c r="C31" i="2"/>
  <c r="C30" i="2"/>
  <c r="C29" i="2"/>
  <c r="C28" i="2"/>
  <c r="C27" i="2"/>
  <c r="C26" i="2"/>
  <c r="C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<sst xmlns="http://schemas.openxmlformats.org/spreadsheetml/2006/main" count="2360" uniqueCount="490">
  <si>
    <t>序号</t>
  </si>
  <si>
    <t>报表月份</t>
  </si>
  <si>
    <t>供应单位</t>
  </si>
  <si>
    <t>供应商全称</t>
  </si>
  <si>
    <t>报表月份供应商</t>
  </si>
  <si>
    <t>运输单位</t>
  </si>
  <si>
    <t>车数</t>
  </si>
  <si>
    <t>重量</t>
  </si>
  <si>
    <t>2024-01</t>
  </si>
  <si>
    <t>大同煤矿集团北辛窑煤业有限公司（1-1火车）</t>
  </si>
  <si>
    <t>大同煤矿集团北辛窑煤业有限公司</t>
  </si>
  <si>
    <t>2024-01-大同煤矿集团北辛窑煤业有限公司</t>
  </si>
  <si>
    <t>晋能快成物流科技有限公司</t>
  </si>
  <si>
    <t>大同煤矿集团有限公司程家沟煤矿（1-1火车宝特）</t>
  </si>
  <si>
    <t>大同煤矿集团有限公司程家沟煤矿</t>
  </si>
  <si>
    <t>2024-01-大同煤矿集团有限公司程家沟煤矿</t>
  </si>
  <si>
    <t>河南农投供应链管理有限公司（1-1）</t>
  </si>
  <si>
    <t>河南农投供应链管理有限公司</t>
  </si>
  <si>
    <t>2024-01-河南农投供应链管理有限公司</t>
  </si>
  <si>
    <t>河南农投供应链管理有限公司（12-2增量）</t>
  </si>
  <si>
    <t>洪洞阳光能源有限公司（12-1）</t>
  </si>
  <si>
    <t>洪洞阳光能源有限公司</t>
  </si>
  <si>
    <t>2024-01-洪洞阳光能源有限公司</t>
  </si>
  <si>
    <t>侯马鼎坤源能源有限公司（1-1）</t>
  </si>
  <si>
    <t>侯马鼎坤源能源有限公司</t>
  </si>
  <si>
    <t>2024-01-侯马鼎坤源能源有限公司</t>
  </si>
  <si>
    <t>晋能控股集团盛泰煤业有限公司（1-1）</t>
  </si>
  <si>
    <t>晋能控股集团盛泰煤业有限公司</t>
  </si>
  <si>
    <t>2024-01-晋能控股集团盛泰煤业有限公司</t>
  </si>
  <si>
    <t>晋能控股煤业集团沁水胡底煤业有限公司（1-1）</t>
  </si>
  <si>
    <t>晋能控股煤业集团沁水胡底煤业有限公司</t>
  </si>
  <si>
    <t>2024-01-晋能控股煤业集团沁水胡底煤业有限公司</t>
  </si>
  <si>
    <t>晋能控股煤业集团翼城华泓煤业有限公司（1-1）</t>
  </si>
  <si>
    <t>晋能控股煤业集团翼城华泓煤业有限公司</t>
  </si>
  <si>
    <t>2024-01-晋能控股煤业集团翼城华泓煤业有限公司</t>
  </si>
  <si>
    <t>临汾市侯马经济开发区鑫鑫商贸有限公司（1-1）</t>
  </si>
  <si>
    <t>临汾市侯马经济开发区鑫鑫商贸有限公司</t>
  </si>
  <si>
    <t>2024-01-临汾市侯马经济开发区鑫鑫商贸有限公司</t>
  </si>
  <si>
    <t>临汾市侯马经济开发区鑫鑫商贸有限公司（12-1）</t>
  </si>
  <si>
    <t>山西芳瑞芳菲商贸有限公司(12-2增量)</t>
  </si>
  <si>
    <t>山西芳瑞芳菲商贸有限公司</t>
  </si>
  <si>
    <t>2024-01-山西芳瑞芳菲商贸有限公司</t>
  </si>
  <si>
    <t>山西汾河焦煤股份有限公司三交河煤矿（1-1）</t>
  </si>
  <si>
    <t>山西汾河焦煤股份有限公司三交河煤矿</t>
  </si>
  <si>
    <t>2024-01-山西汾河焦煤股份有限公司三交河煤矿</t>
  </si>
  <si>
    <t>山西焦煤物流有限责任公司</t>
  </si>
  <si>
    <t>山西焦煤汾西矿业昊锦塬煤业(1-1)</t>
  </si>
  <si>
    <t>山西焦煤汾西矿业昊锦塬煤业</t>
  </si>
  <si>
    <t>2024-01-山西焦煤汾西矿业昊锦塬煤业</t>
  </si>
  <si>
    <t>山西焦煤集团辛置矿（1-1）</t>
  </si>
  <si>
    <t>山西焦煤集团辛置矿</t>
  </si>
  <si>
    <t>2024-01-山西焦煤集团辛置矿</t>
  </si>
  <si>
    <t>山西焦煤集团昊兴塬煤业（1-1）</t>
  </si>
  <si>
    <t>山西焦煤集团昊兴塬煤业</t>
  </si>
  <si>
    <t>2024-01-山西焦煤集团昊兴塬煤业</t>
  </si>
  <si>
    <t>山西晋煤集团晋圣亿欣煤业有限公司（1-1）</t>
  </si>
  <si>
    <t>山西晋煤集团晋圣亿欣煤业有限公司</t>
  </si>
  <si>
    <t>2024-01-山西晋煤集团晋圣亿欣煤业有限公司</t>
  </si>
  <si>
    <t>山西骏盛通能源有限公司（1-1）</t>
  </si>
  <si>
    <t>山西骏盛通能源有限公司</t>
  </si>
  <si>
    <t>2024-01-山西骏盛通能源有限公司</t>
  </si>
  <si>
    <t>山西陆港现代物流发展有限公司（1-1）</t>
  </si>
  <si>
    <t>山西陆港现代物流发展有限公司</t>
  </si>
  <si>
    <t>2024-01-山西陆港现代物流发展有限公司</t>
  </si>
  <si>
    <t>山西陆港现代物流发展有限公司（12-1）</t>
  </si>
  <si>
    <t>山西煤炭运销集团盖州煤业有限公司（1-1）</t>
  </si>
  <si>
    <t>山西煤炭运销集团盖州煤业有限公司</t>
  </si>
  <si>
    <t>2024-01-山西煤炭运销集团盖州煤业有限公司</t>
  </si>
  <si>
    <t>山西煤炭运销集团四明山煤业有限公司（1-1）</t>
  </si>
  <si>
    <t>山西煤炭运销集团四明山煤业有限公司</t>
  </si>
  <si>
    <t>2024-01-山西煤炭运销集团四明山煤业有限公司</t>
  </si>
  <si>
    <t>山西太行云商科技有限公司（1-1）</t>
  </si>
  <si>
    <t>山西太行云商科技有限公司</t>
  </si>
  <si>
    <t>2024-01-山西太行云商科技有限公司</t>
  </si>
  <si>
    <t>山西统配煤炭物流有限公司（1-1）</t>
  </si>
  <si>
    <t>山西统配煤炭物流有限公司</t>
  </si>
  <si>
    <t>2024-01-山西统配煤炭物流有限公司</t>
  </si>
  <si>
    <t>山西统配煤炭物流有限公司（12-2增量）</t>
  </si>
  <si>
    <t>山西搿悦能源科技有限公司（12-1）</t>
  </si>
  <si>
    <t>山西搿悦能源科技有限公司</t>
  </si>
  <si>
    <t>2024-01-山西搿悦能源科技有限公司</t>
  </si>
  <si>
    <t>山西鑫健商贸有限公司（1-1）</t>
  </si>
  <si>
    <t>山西鑫健商贸有限公司</t>
  </si>
  <si>
    <t>2024-01-山西鑫健商贸有限公司</t>
  </si>
  <si>
    <t>山西鑫健商贸有限公司（12-1）</t>
  </si>
  <si>
    <t>太原煤气化股份有限公司炉峪口煤矿（12-1火车）</t>
  </si>
  <si>
    <t>太原煤气化股份有限公司炉峪口煤矿</t>
  </si>
  <si>
    <t>2024-01-太原煤气化股份有限公司炉峪口煤矿</t>
  </si>
  <si>
    <t>太原煤气化龙泉能源（1-1火车）</t>
  </si>
  <si>
    <t>太原煤气化龙泉能源</t>
  </si>
  <si>
    <t>2024-01-太原煤气化龙泉能源</t>
  </si>
  <si>
    <t>襄汾县浩群煤业有限公司（1-1）</t>
  </si>
  <si>
    <t>襄汾县浩群煤业有限公司</t>
  </si>
  <si>
    <t>2024-01-襄汾县浩群煤业有限公司</t>
  </si>
  <si>
    <t>襄汾县浩群煤业有限公司（12-1）</t>
  </si>
  <si>
    <t>阳泉煤业集团翼城山凹煤业有限公司（1-1）</t>
  </si>
  <si>
    <t>阳泉煤业集团翼城山凹煤业有限公司</t>
  </si>
  <si>
    <t>2024-01-阳泉煤业集团翼城山凹煤业有限公司</t>
  </si>
  <si>
    <t>2024-02</t>
  </si>
  <si>
    <t>大同煤矿集团北辛窑煤业有限公司（2-1火车）</t>
  </si>
  <si>
    <t>2024-02-大同煤矿集团北辛窑煤业有限公司</t>
  </si>
  <si>
    <t>2024-02-大同煤矿集团有限公司程家沟煤矿</t>
  </si>
  <si>
    <t>2024-02-河南农投供应链管理有限公司</t>
  </si>
  <si>
    <t>2024-02-侯马鼎坤源能源有限公司</t>
  </si>
  <si>
    <t>晋能控股集团盛泰煤业有限公司（2-1）</t>
  </si>
  <si>
    <t>2024-02-晋能控股集团盛泰煤业有限公司</t>
  </si>
  <si>
    <t>晋能控股煤业集团翼城华泓煤业有限公司（2-1）</t>
  </si>
  <si>
    <t>2024-02-晋能控股煤业集团翼城华泓煤业有限公司</t>
  </si>
  <si>
    <t>2024-02-临汾市侯马经济开发区鑫鑫商贸有限公司</t>
  </si>
  <si>
    <t>山西汾河焦煤股份有限公司三交河煤矿（2-1）</t>
  </si>
  <si>
    <t>2024-02-山西汾河焦煤股份有限公司三交河煤矿</t>
  </si>
  <si>
    <t>山西焦煤汾西矿业昊锦塬煤业(2-1)</t>
  </si>
  <si>
    <t>2024-02-山西焦煤汾西矿业昊锦塬煤业</t>
  </si>
  <si>
    <t>山西焦煤集团辛置矿（2-1）</t>
  </si>
  <si>
    <t>2024-02-山西焦煤集团辛置矿</t>
  </si>
  <si>
    <t>2024-02-山西骏盛通能源有限公司</t>
  </si>
  <si>
    <t>山西煤炭运销集团盖州煤业有限公司（2-1）</t>
  </si>
  <si>
    <t>2024-02-山西煤炭运销集团盖州煤业有限公司</t>
  </si>
  <si>
    <t>山西煤炭运销集团神农煤业有限公司（2-1）</t>
  </si>
  <si>
    <t>山西煤炭运销集团神农煤业有限公司</t>
  </si>
  <si>
    <t>2024-02-山西煤炭运销集团神农煤业有限公司</t>
  </si>
  <si>
    <t>山西煤炭运销集团四明山煤业有限公司（2-1）</t>
  </si>
  <si>
    <t>2024-02-山西煤炭运销集团四明山煤业有限公司</t>
  </si>
  <si>
    <t>2024-02-山西统配煤炭物流有限公司</t>
  </si>
  <si>
    <t>2024-02-山西鑫健商贸有限公司</t>
  </si>
  <si>
    <t>太原煤气化股份有限公司炉峪口煤矿（1-1宝特）</t>
  </si>
  <si>
    <t>2024-02-太原煤气化股份有限公司炉峪口煤矿</t>
  </si>
  <si>
    <t>太原煤气化股份有限公司炉峪口煤矿（2-1宝特）</t>
  </si>
  <si>
    <t>2024-02-太原煤气化龙泉能源</t>
  </si>
  <si>
    <t>太原煤气化龙泉能源（2-1火车）</t>
  </si>
  <si>
    <t>2024-02-襄汾县浩群煤业有限公司</t>
  </si>
  <si>
    <t>阳泉煤业集团翼城山凹煤业有限公司（2-1）</t>
  </si>
  <si>
    <t>2024-02-阳泉煤业集团翼城山凹煤业有限公司</t>
  </si>
  <si>
    <t>2024-03</t>
  </si>
  <si>
    <t>2024-03-大同煤矿集团北辛窑煤业有限公司</t>
  </si>
  <si>
    <t>大同煤矿集团北辛窑煤业有限公司（3-1火车）</t>
  </si>
  <si>
    <t>2024-03-晋能控股集团盛泰煤业有限公司</t>
  </si>
  <si>
    <t>晋能控股集团盛泰煤业有限公司（3-1）</t>
  </si>
  <si>
    <t>晋能控股煤业集团沁水胡底煤业有限公司（3-1）</t>
  </si>
  <si>
    <t>2024-03-晋能控股煤业集团沁水胡底煤业有限公司</t>
  </si>
  <si>
    <t>晋能控股煤业集团翼城华泓煤业有限公司（3-1）</t>
  </si>
  <si>
    <t>2024-03-晋能控股煤业集团翼城华泓煤业有限公司</t>
  </si>
  <si>
    <t>2024-03-山西汾河焦煤股份有限公司三交河煤矿</t>
  </si>
  <si>
    <t>山西汾河焦煤股份有限公司三交河煤矿（3-1）</t>
  </si>
  <si>
    <t>山西焦煤汾西矿业昊锦塬煤业(3-1)</t>
  </si>
  <si>
    <t>2024-03-山西焦煤汾西矿业昊锦塬煤业</t>
  </si>
  <si>
    <t>山西焦煤霍州煤电雪坪煤业有限公司（3-1）</t>
  </si>
  <si>
    <t>山西焦煤霍州煤电雪坪煤业有限公司</t>
  </si>
  <si>
    <t>2024-03-山西焦煤霍州煤电雪坪煤业有限公司</t>
  </si>
  <si>
    <t>山西焦煤集团辛置矿（3-1）</t>
  </si>
  <si>
    <t>2024-03-山西焦煤集团辛置矿</t>
  </si>
  <si>
    <t>山西晋煤集团晋圣亿欣煤业有限公司（3-1）</t>
  </si>
  <si>
    <t>2024-03-山西晋煤集团晋圣亿欣煤业有限公司</t>
  </si>
  <si>
    <t>山西煤炭运销集团盖州煤业有限公司（3-1）</t>
  </si>
  <si>
    <t>2024-03-山西煤炭运销集团盖州煤业有限公司</t>
  </si>
  <si>
    <t>2024-03-山西煤炭运销集团神农煤业有限公司</t>
  </si>
  <si>
    <t>山西煤炭运销集团神农煤业有限公司（3-1）</t>
  </si>
  <si>
    <t>山西煤炭运销集团四明山煤业有限公司（3-1）</t>
  </si>
  <si>
    <t>2024-03-山西煤炭运销集团四明山煤业有限公司</t>
  </si>
  <si>
    <t>山西蒲县华胜煤业有限公司（3-1）</t>
  </si>
  <si>
    <t>山西蒲县华胜煤业有限公司</t>
  </si>
  <si>
    <t>2024-03-山西蒲县华胜煤业有限公司</t>
  </si>
  <si>
    <t>太原煤气化股份有限公司炉峪口煤矿（3-1宝特）</t>
  </si>
  <si>
    <t>2024-03-太原煤气化股份有限公司炉峪口煤矿</t>
  </si>
  <si>
    <t>太原煤气化龙泉能源（3-1火车）</t>
  </si>
  <si>
    <t>2024-03-太原煤气化龙泉能源</t>
  </si>
  <si>
    <t>阳泉煤业集团翼城山凹煤业有限公司（3-1）</t>
  </si>
  <si>
    <t>2024-03-阳泉煤业集团翼城山凹煤业有限公司</t>
  </si>
  <si>
    <t>2024-04</t>
  </si>
  <si>
    <t>2024-04-大同煤矿集团北辛窑煤业有限公司</t>
  </si>
  <si>
    <t>晋能控股集团盛泰煤业有限公司（4-1）</t>
  </si>
  <si>
    <t>2024-04-晋能控股集团盛泰煤业有限公司</t>
  </si>
  <si>
    <t>晋能控股煤业集团沁水胡底煤业有限公司（4-1）</t>
  </si>
  <si>
    <t>2024-04-晋能控股煤业集团沁水胡底煤业有限公司</t>
  </si>
  <si>
    <t>晋能控股煤业集团翼城华泓煤业有限公司（4-1）</t>
  </si>
  <si>
    <t>2024-04-晋能控股煤业集团翼城华泓煤业有限公司</t>
  </si>
  <si>
    <t>2024-04-山西汾河焦煤股份有限公司三交河煤矿</t>
  </si>
  <si>
    <t>山西汾河焦煤股份有限公司三交河煤矿（4-1）</t>
  </si>
  <si>
    <t>山西焦煤汾西矿业昊锦塬煤业(4-1)</t>
  </si>
  <si>
    <t>2024-04-山西焦煤汾西矿业昊锦塬煤业</t>
  </si>
  <si>
    <t>山西焦煤霍州煤电雪坪煤业有限公司（4-1）</t>
  </si>
  <si>
    <t>2024-04-山西焦煤霍州煤电雪坪煤业有限公司</t>
  </si>
  <si>
    <t>山西焦煤集团辛置矿（4-1）</t>
  </si>
  <si>
    <t>2024-04-山西焦煤集团辛置矿</t>
  </si>
  <si>
    <t>2024-04-山西晋煤集团晋圣亿欣煤业有限公司</t>
  </si>
  <si>
    <t>山西煤炭运销集团盖州煤业有限公司（4-1）</t>
  </si>
  <si>
    <t>2024-04-山西煤炭运销集团盖州煤业有限公司</t>
  </si>
  <si>
    <t>山西蒲县华胜煤业有限公司（4-1）</t>
  </si>
  <si>
    <t>2024-04-山西蒲县华胜煤业有限公司</t>
  </si>
  <si>
    <t>2024-04-太原煤气化股份有限公司炉峪口煤矿</t>
  </si>
  <si>
    <t>2024-04-太原煤气化龙泉能源</t>
  </si>
  <si>
    <t>太原煤气化龙泉能源（4-1火车）</t>
  </si>
  <si>
    <t>阳泉煤业集团翼城山凹煤业有限公司（4-1）</t>
  </si>
  <si>
    <t>2024-04-阳泉煤业集团翼城山凹煤业有限公司</t>
  </si>
  <si>
    <t>2024-05</t>
  </si>
  <si>
    <t>大同煤矿集团北辛窑煤业有限公司（4-1火车）</t>
  </si>
  <si>
    <t>2024-05-大同煤矿集团北辛窑煤业有限公司</t>
  </si>
  <si>
    <t>2024-05-晋能控股煤业集团沁水胡底煤业有限公司</t>
  </si>
  <si>
    <t>晋能控股煤业集团翼城华泓煤业有限公司（5-1）</t>
  </si>
  <si>
    <t>2024-05-晋能控股煤业集团翼城华泓煤业有限公司</t>
  </si>
  <si>
    <t>山西汾河焦煤股份有限公司三交河煤矿（5-1）</t>
  </si>
  <si>
    <t>2024-05-山西汾河焦煤股份有限公司三交河煤矿</t>
  </si>
  <si>
    <t>山西焦煤汾西矿业昊锦塬煤业(5-1)</t>
  </si>
  <si>
    <t>2024-05-山西焦煤汾西矿业昊锦塬煤业</t>
  </si>
  <si>
    <t>山西焦煤霍州煤电雪坪煤业有限公司（5-1）</t>
  </si>
  <si>
    <t>2024-05-山西焦煤霍州煤电雪坪煤业有限公司</t>
  </si>
  <si>
    <t>山西焦煤集团金辛达煤业（5-1）</t>
  </si>
  <si>
    <t>山西焦煤集团金辛达煤业</t>
  </si>
  <si>
    <t>2024-05-山西焦煤集团金辛达煤业</t>
  </si>
  <si>
    <t>山西焦煤集团辛置矿（5-1）</t>
  </si>
  <si>
    <t>2024-05-山西焦煤集团辛置矿</t>
  </si>
  <si>
    <t>山西晋煤集团临汾晋牛煤矿投资有限责任公司（5-1）</t>
  </si>
  <si>
    <t>山西晋煤集团临汾晋牛煤矿投资有限责任公司</t>
  </si>
  <si>
    <t>2024-05-山西晋煤集团临汾晋牛煤矿投资有限责任公司</t>
  </si>
  <si>
    <t>山西蒲县华胜煤业有限公司（5-1）</t>
  </si>
  <si>
    <t>2024-05-山西蒲县华胜煤业有限公司</t>
  </si>
  <si>
    <t>太原煤气化股份有限公司炉峪口煤矿（4-1宝特）</t>
  </si>
  <si>
    <t>2024-05-太原煤气化股份有限公司炉峪口煤矿</t>
  </si>
  <si>
    <t>2024-05-太原煤气化龙泉能源</t>
  </si>
  <si>
    <t>太原煤气化龙泉能源（5-1火车）</t>
  </si>
  <si>
    <t>阳泉煤业集团翼城山凹煤业有限公司（5-1）</t>
  </si>
  <si>
    <t>2024-05-阳泉煤业集团翼城山凹煤业有限公司</t>
  </si>
  <si>
    <t>2024-06</t>
  </si>
  <si>
    <t>2024-06-大同煤矿集团北辛窑煤业有限公司</t>
  </si>
  <si>
    <t>大同煤矿集团北辛窑煤业有限公司（5-1火车）</t>
  </si>
  <si>
    <t>晋能控股集团沁秀公司坪上煤业（6-1）</t>
  </si>
  <si>
    <t>晋能控股集团沁秀公司坪上煤业</t>
  </si>
  <si>
    <t>2024-06-晋能控股集团沁秀公司坪上煤业</t>
  </si>
  <si>
    <t>晋能控股煤业集团翼城华泓煤业有限公司（6-1）</t>
  </si>
  <si>
    <t>2024-06-晋能控股煤业集团翼城华泓煤业有限公司</t>
  </si>
  <si>
    <t>山西焦煤霍州煤电雪坪煤业有限公司（6-1）</t>
  </si>
  <si>
    <t>2024-06-山西焦煤霍州煤电雪坪煤业有限公司</t>
  </si>
  <si>
    <t>山西焦煤集团金辛达煤业（6-1）</t>
  </si>
  <si>
    <t>2024-06-山西焦煤集团金辛达煤业</t>
  </si>
  <si>
    <t>山西晋煤集团临汾晋牛煤矿投资有限责任公司（6-1）</t>
  </si>
  <si>
    <t>2024-06-山西晋煤集团临汾晋牛煤矿投资有限责任公司</t>
  </si>
  <si>
    <t>山西煤炭运销集团神农煤业有限公司（6-1）</t>
  </si>
  <si>
    <t>2024-06-山西煤炭运销集团神农煤业有限公司</t>
  </si>
  <si>
    <t>山西煤炭运销集团四明山煤业有限公司（6-1）</t>
  </si>
  <si>
    <t>2024-06-山西煤炭运销集团四明山煤业有限公司</t>
  </si>
  <si>
    <t>山西蒲县华胜煤业有限公司（6-1）</t>
  </si>
  <si>
    <t>2024-06-山西蒲县华胜煤业有限公司</t>
  </si>
  <si>
    <t>2024-06-太原煤气化龙泉能源</t>
  </si>
  <si>
    <t>太原煤气化龙泉能源（6-1火车）</t>
  </si>
  <si>
    <t>阳泉煤业集团翼城山凹煤业有限公司（6-1）</t>
  </si>
  <si>
    <t>2024-06-阳泉煤业集团翼城山凹煤业有限公司</t>
  </si>
  <si>
    <t>2024-07</t>
  </si>
  <si>
    <t>大同煤矿集团北辛窑煤业有限公司（6-1火车）</t>
  </si>
  <si>
    <t>2024-07-大同煤矿集团北辛窑煤业有限公司</t>
  </si>
  <si>
    <t>2024-07-晋能控股集团沁秀公司坪上煤业</t>
  </si>
  <si>
    <t>晋能控股集团沁秀公司坪上煤业（7-1）</t>
  </si>
  <si>
    <t>晋能控股集团盛泰煤业有限公司（7-1）</t>
  </si>
  <si>
    <t>2024-07-晋能控股集团盛泰煤业有限公司</t>
  </si>
  <si>
    <t>山西焦煤霍州煤电雪坪煤业有限公司（7-1）</t>
  </si>
  <si>
    <t>2024-07-山西焦煤霍州煤电雪坪煤业有限公司</t>
  </si>
  <si>
    <t>山西焦煤集团金辛达煤业（7-1）</t>
  </si>
  <si>
    <t>2024-07-山西焦煤集团金辛达煤业</t>
  </si>
  <si>
    <t>山西晋煤集团晋圣亿欣煤业有限公司（7-1）</t>
  </si>
  <si>
    <t>2024-07-山西晋煤集团晋圣亿欣煤业有限公司</t>
  </si>
  <si>
    <t>山西煤炭运销集团神农煤业有限公司（7-1）</t>
  </si>
  <si>
    <t>2024-07-山西煤炭运销集团神农煤业有限公司</t>
  </si>
  <si>
    <t>山西煤炭运销集团四明山煤业有限公司（7-1）</t>
  </si>
  <si>
    <t>2024-07-山西煤炭运销集团四明山煤业有限公司</t>
  </si>
  <si>
    <t>山西煤炭运销集团野川有限公司（7-1）</t>
  </si>
  <si>
    <t>山西煤炭运销集团野川有限公司</t>
  </si>
  <si>
    <t>2024-07-山西煤炭运销集团野川有限公司</t>
  </si>
  <si>
    <t>山西蒲县华胜煤业有限公司（7-1）</t>
  </si>
  <si>
    <t>2024-07-山西蒲县华胜煤业有限公司</t>
  </si>
  <si>
    <t>2024-07-太原煤气化龙泉能源</t>
  </si>
  <si>
    <t>阳泉煤业集团翼城山凹煤业有限公司（7-1）</t>
  </si>
  <si>
    <t>2024-07-阳泉煤业集团翼城山凹煤业有限公司</t>
  </si>
  <si>
    <t>2024-08</t>
  </si>
  <si>
    <t>2024-08-大同煤矿集团北辛窑煤业有限公司</t>
  </si>
  <si>
    <t>大同煤矿集团北辛窑煤业有限公司（8-1火车）</t>
  </si>
  <si>
    <t>大同煤矿集团朔煤小峪煤业有限公司（8-1火车）</t>
  </si>
  <si>
    <t>大同煤矿集团朔煤小峪煤业有限公司</t>
  </si>
  <si>
    <t>2024-08-大同煤矿集团朔煤小峪煤业有限公司</t>
  </si>
  <si>
    <t>晋能控股集团沁秀公司坪上煤业（8-1）</t>
  </si>
  <si>
    <t>2024-08-晋能控股集团沁秀公司坪上煤业</t>
  </si>
  <si>
    <t>2024-08-晋能控股集团盛泰煤业有限公司</t>
  </si>
  <si>
    <t>晋能控股煤业集团翼城华泓煤业有限公司（8-1）</t>
  </si>
  <si>
    <t>2024-08-晋能控股煤业集团翼城华泓煤业有限公司</t>
  </si>
  <si>
    <t>山西焦煤霍州煤电雪坪煤业有限公司（8-1）</t>
  </si>
  <si>
    <t>2024-08-山西焦煤霍州煤电雪坪煤业有限公司</t>
  </si>
  <si>
    <t>山西焦煤集团金辛达煤业（8-1）</t>
  </si>
  <si>
    <t>2024-08-山西焦煤集团金辛达煤业</t>
  </si>
  <si>
    <t>山西晋煤集团晋圣亿欣煤业有限公司（8-1）</t>
  </si>
  <si>
    <t>2024-08-山西晋煤集团晋圣亿欣煤业有限公司</t>
  </si>
  <si>
    <t>山西晋煤集团临汾晋牛煤矿投资有限责任公司（8-1）</t>
  </si>
  <si>
    <t>2024-08-山西晋煤集团临汾晋牛煤矿投资有限责任公司</t>
  </si>
  <si>
    <t>山西晋煤集团沁秀煤业有限公司岳城煤矿(8-1)</t>
  </si>
  <si>
    <t>山西晋煤集团沁秀煤业有限公司岳城煤矿</t>
  </si>
  <si>
    <t>2024-08-山西晋煤集团沁秀煤业有限公司岳城煤矿</t>
  </si>
  <si>
    <t>山西煤炭运销集团莲盛有限公司（8-1火车）</t>
  </si>
  <si>
    <t>山西煤炭运销集团莲盛有限公司</t>
  </si>
  <si>
    <t>2024-08-山西煤炭运销集团莲盛有限公司</t>
  </si>
  <si>
    <t>山西煤炭运销集团神农煤业有限公司（8-1）</t>
  </si>
  <si>
    <t>2024-08-山西煤炭运销集团神农煤业有限公司</t>
  </si>
  <si>
    <t>山西煤炭运销集团野川有限公司（8-1）</t>
  </si>
  <si>
    <t>2024-08-山西煤炭运销集团野川有限公司</t>
  </si>
  <si>
    <t>山西蒲县华胜煤业有限公司（8-1）</t>
  </si>
  <si>
    <t>2024-08-山西蒲县华胜煤业有限公司</t>
  </si>
  <si>
    <t>2024-08-太原煤气化龙泉能源</t>
  </si>
  <si>
    <t>太原煤气化龙泉能源（7-1火车）</t>
  </si>
  <si>
    <t>太原煤气化龙泉能源（8-1火车）</t>
  </si>
  <si>
    <t>2024-08-阳泉煤业集团翼城山凹煤业有限公司</t>
  </si>
  <si>
    <t>阳泉煤业集团翼城山凹煤业有限公司（8-1）</t>
  </si>
  <si>
    <t>2024-09</t>
  </si>
  <si>
    <t>2024-09-大同煤矿集团北辛窑煤业有限公司</t>
  </si>
  <si>
    <t>大同煤矿集团北辛窑煤业有限公司（9-1火车）</t>
  </si>
  <si>
    <t>2024-09-大同煤矿集团朔煤小峪煤业有限公司</t>
  </si>
  <si>
    <t>大同煤矿集团朔煤小峪煤业有限公司（9-1火车）</t>
  </si>
  <si>
    <t>晋能控股集团沁秀公司坪上煤业（9-1）</t>
  </si>
  <si>
    <t>2024-09-晋能控股集团沁秀公司坪上煤业</t>
  </si>
  <si>
    <t>晋能控股集团盛泰煤业有限公司（9-1）</t>
  </si>
  <si>
    <t>2024-09-晋能控股集团盛泰煤业有限公司</t>
  </si>
  <si>
    <t>晋能控股煤业集团翼城华泓煤业有限公司（9-1）</t>
  </si>
  <si>
    <t>2024-09-晋能控股煤业集团翼城华泓煤业有限公司</t>
  </si>
  <si>
    <t>山西焦煤霍州煤电雪坪煤业有限公司（9-1）</t>
  </si>
  <si>
    <t>2024-09-山西焦煤霍州煤电雪坪煤业有限公司</t>
  </si>
  <si>
    <t>山西焦煤集团国际贸易有限责任公司（10-1）</t>
  </si>
  <si>
    <t>山西焦煤集团国际贸易有限责任公司</t>
  </si>
  <si>
    <t>2024-09-山西焦煤集团国际贸易有限责任公司</t>
  </si>
  <si>
    <t>山西焦煤集团国际贸易有限责任公司（9-1）</t>
  </si>
  <si>
    <t>山西焦煤集团金辛达煤业（9-1）</t>
  </si>
  <si>
    <t>2024-09-山西焦煤集团金辛达煤业</t>
  </si>
  <si>
    <t>2024-09-山西煤炭运销集团莲盛有限公司</t>
  </si>
  <si>
    <t>山西煤炭运销集团莲盛有限公司（9-1火车）</t>
  </si>
  <si>
    <t>山西煤炭运销集团神农煤业有限公司（9-1）</t>
  </si>
  <si>
    <t>2024-09-山西煤炭运销集团神农煤业有限公司</t>
  </si>
  <si>
    <t>山西煤炭运销集团野川有限公司（9-1）</t>
  </si>
  <si>
    <t>2024-09-山西煤炭运销集团野川有限公司</t>
  </si>
  <si>
    <t>山西蒲县华胜煤业有限公司（9-1）</t>
  </si>
  <si>
    <t>2024-09-山西蒲县华胜煤业有限公司</t>
  </si>
  <si>
    <t>太原煤气化龙泉能源（9-1火车）</t>
  </si>
  <si>
    <t>2024-09-太原煤气化龙泉能源</t>
  </si>
  <si>
    <t>阳泉煤业集团翼城山凹煤业有限公司（9-1）</t>
  </si>
  <si>
    <t>2024-09-阳泉煤业集团翼城山凹煤业有限公司</t>
  </si>
  <si>
    <t>2024-10</t>
  </si>
  <si>
    <t>2024-10-大同煤矿集团北辛窑煤业有限公司</t>
  </si>
  <si>
    <t>2024-10-大同煤矿集团朔煤小峪煤业有限公司</t>
  </si>
  <si>
    <t>晋能控股集团沁秀公司坪上煤业（10-1）</t>
  </si>
  <si>
    <t>2024-10-晋能控股集团沁秀公司坪上煤业</t>
  </si>
  <si>
    <t>晋能控股集团盛泰煤业有限公司（10-1）</t>
  </si>
  <si>
    <t>2024-10-晋能控股集团盛泰煤业有限公司</t>
  </si>
  <si>
    <t>山西焦煤霍州煤电雪坪煤业有限公司（10-1）</t>
  </si>
  <si>
    <t>2024-10-山西焦煤霍州煤电雪坪煤业有限公司</t>
  </si>
  <si>
    <t>2024-10-山西焦煤集团国际贸易有限责任公司</t>
  </si>
  <si>
    <t>山西焦煤集团金辛达煤业（10-1）</t>
  </si>
  <si>
    <t>2024-10-山西焦煤集团金辛达煤业</t>
  </si>
  <si>
    <t>山西晋煤集团晋圣亿欣煤业有限公司（10-1）</t>
  </si>
  <si>
    <t>2024-10-山西晋煤集团晋圣亿欣煤业有限公司</t>
  </si>
  <si>
    <t>山西煤炭运销集团莲盛有限公司（10-1火车）</t>
  </si>
  <si>
    <t>2024-10-山西煤炭运销集团莲盛有限公司</t>
  </si>
  <si>
    <t>山西煤炭运销集团神农煤业有限公司（10-1）</t>
  </si>
  <si>
    <t>2024-10-山西煤炭运销集团神农煤业有限公司</t>
  </si>
  <si>
    <t>山西煤炭运销集团野川有限公司（10-1）</t>
  </si>
  <si>
    <t>2024-10-山西煤炭运销集团野川有限公司</t>
  </si>
  <si>
    <t>山西蒲县华胜煤业有限公司（10-1）</t>
  </si>
  <si>
    <t>2024-10-山西蒲县华胜煤业有限公司</t>
  </si>
  <si>
    <t>太原煤气化龙泉能源（10-1火车）</t>
  </si>
  <si>
    <t>2024-10-太原煤气化龙泉能源</t>
  </si>
  <si>
    <t>阳泉煤业集团翼城山凹煤业有限公司（10-1）</t>
  </si>
  <si>
    <t>2024-10-阳泉煤业集团翼城山凹煤业有限公司</t>
  </si>
  <si>
    <t>2024-11</t>
  </si>
  <si>
    <t>2024-11-大同煤矿集团北辛窑煤业有限公司</t>
  </si>
  <si>
    <t>晋能控股集团沁秀公司坪上煤业（11-1）</t>
  </si>
  <si>
    <t>2024-11-晋能控股集团沁秀公司坪上煤业</t>
  </si>
  <si>
    <t>晋能控股煤业集团沁水胡底煤业有限公司（11-1）</t>
  </si>
  <si>
    <t>2024-11-晋能控股煤业集团沁水胡底煤业有限公司</t>
  </si>
  <si>
    <t>晋能控股煤业集团翼城华泓煤业有限公司（11-1）</t>
  </si>
  <si>
    <t>2024-11-晋能控股煤业集团翼城华泓煤业有限公司</t>
  </si>
  <si>
    <t>山西焦煤霍州煤电雪坪煤业有限公司（11-1）</t>
  </si>
  <si>
    <t>2024-11-山西焦煤霍州煤电雪坪煤业有限公司</t>
  </si>
  <si>
    <t>山西焦煤集团国际贸易有限责任公司（11-1）</t>
  </si>
  <si>
    <t>2024-11-山西焦煤集团国际贸易有限责任公司</t>
  </si>
  <si>
    <t>山西晋煤集团晋圣亿欣煤业有限公司（11-1）</t>
  </si>
  <si>
    <t>2024-11-山西晋煤集团晋圣亿欣煤业有限公司</t>
  </si>
  <si>
    <t>2024-11-山西煤炭运销集团莲盛有限公司</t>
  </si>
  <si>
    <t>山西煤炭运销集团莲盛有限公司（11-1火车）</t>
  </si>
  <si>
    <t>山西煤炭运销集团神农煤业有限公司（11-1）</t>
  </si>
  <si>
    <t>2024-11-山西煤炭运销集团神农煤业有限公司</t>
  </si>
  <si>
    <t>山西煤炭运销集团四明山煤业有限公司（11-1）</t>
  </si>
  <si>
    <t>2024-11-山西煤炭运销集团四明山煤业有限公司</t>
  </si>
  <si>
    <t>山西煤炭运销集团野川有限公司（11-1）</t>
  </si>
  <si>
    <t>2024-11-山西煤炭运销集团野川有限公司</t>
  </si>
  <si>
    <t>山西蒲县华胜煤业有限公司（11-1）</t>
  </si>
  <si>
    <t>2024-11-山西蒲县华胜煤业有限公司</t>
  </si>
  <si>
    <t>太原煤气化股份有限公司炉峪口煤矿（11-1宝特）</t>
  </si>
  <si>
    <t>2024-11-太原煤气化股份有限公司炉峪口煤矿</t>
  </si>
  <si>
    <t>2024-11-太原煤气化龙泉能源</t>
  </si>
  <si>
    <t>阳泉煤业集团翼城山凹煤业有限公司（11-1）</t>
  </si>
  <si>
    <t>2024-11-阳泉煤业集团翼城山凹煤业有限公司</t>
  </si>
  <si>
    <t>2024-12</t>
  </si>
  <si>
    <t>大同煤矿集团北辛窑煤业有限公司（10-1火车）</t>
  </si>
  <si>
    <t>2024-12-大同煤矿集团北辛窑煤业有限公司</t>
  </si>
  <si>
    <t>晋能控股煤业集团沁水胡底煤业有限公司（12-1）</t>
  </si>
  <si>
    <t>2024-12-晋能控股煤业集团沁水胡底煤业有限公司</t>
  </si>
  <si>
    <t>晋能控股煤业集团翼城华泓煤业有限公司（12-1）</t>
  </si>
  <si>
    <t>2024-12-晋能控股煤业集团翼城华泓煤业有限公司</t>
  </si>
  <si>
    <t>山西焦煤霍州煤电雪坪煤业有限公司（12-1）</t>
  </si>
  <si>
    <t>2024-12-山西焦煤霍州煤电雪坪煤业有限公司</t>
  </si>
  <si>
    <t>山西焦煤集团国际贸易有限责任公司（12-1）</t>
  </si>
  <si>
    <t>2024-12-山西焦煤集团国际贸易有限责任公司</t>
  </si>
  <si>
    <t>2024-12-山西煤炭运销集团莲盛有限公司</t>
  </si>
  <si>
    <t>山西煤炭运销集团莲盛有限公司（12-1火车）</t>
  </si>
  <si>
    <t>山西煤炭运销集团神农煤业有限公司（12-1）</t>
  </si>
  <si>
    <t>2024-12-山西煤炭运销集团神农煤业有限公司</t>
  </si>
  <si>
    <t>山西煤炭运销集团野川有限公司（12-1）</t>
  </si>
  <si>
    <t>2024-12-山西煤炭运销集团野川有限公司</t>
  </si>
  <si>
    <t>山西蒲县华胜煤业有限公司（12-1）</t>
  </si>
  <si>
    <t>2024-12-山西蒲县华胜煤业有限公司</t>
  </si>
  <si>
    <t>2024-12-太原煤气化股份有限公司炉峪口煤矿</t>
  </si>
  <si>
    <t>太原煤气化龙泉能源（11-1宝特火车）</t>
  </si>
  <si>
    <t>2024-12-太原煤气化龙泉能源</t>
  </si>
  <si>
    <t>阳泉煤业集团翼城山凹煤业有限公司（12-1）</t>
  </si>
  <si>
    <t>2024-12-阳泉煤业集团翼城山凹煤业有限公司</t>
  </si>
  <si>
    <t>发热量</t>
    <phoneticPr fontId="2" type="noConversion"/>
  </si>
  <si>
    <t>供应商</t>
    <phoneticPr fontId="5" type="noConversion"/>
  </si>
  <si>
    <t>含税运费</t>
    <phoneticPr fontId="5" type="noConversion"/>
  </si>
  <si>
    <t>类别</t>
    <phoneticPr fontId="5" type="noConversion"/>
  </si>
  <si>
    <t>运输方式</t>
    <phoneticPr fontId="5" type="noConversion"/>
  </si>
  <si>
    <t>矿发单价</t>
    <phoneticPr fontId="5" type="noConversion"/>
  </si>
  <si>
    <t>忻州物流</t>
    <phoneticPr fontId="5" type="noConversion"/>
  </si>
  <si>
    <t>铁路运费</t>
    <phoneticPr fontId="6" type="noConversion"/>
  </si>
  <si>
    <t>上站装卸</t>
    <phoneticPr fontId="6" type="noConversion"/>
  </si>
  <si>
    <t>上站短倒</t>
    <phoneticPr fontId="6" type="noConversion"/>
  </si>
  <si>
    <t>下站装卸</t>
    <phoneticPr fontId="6" type="noConversion"/>
  </si>
  <si>
    <t>到厂快成单价</t>
    <phoneticPr fontId="5" type="noConversion"/>
  </si>
  <si>
    <t>山凹</t>
    <phoneticPr fontId="5" type="noConversion"/>
  </si>
  <si>
    <t>集团煤</t>
  </si>
  <si>
    <t>汽运</t>
    <phoneticPr fontId="5" type="noConversion"/>
  </si>
  <si>
    <t>华泓</t>
    <phoneticPr fontId="5" type="noConversion"/>
  </si>
  <si>
    <t>炉峪口</t>
    <phoneticPr fontId="5" type="noConversion"/>
  </si>
  <si>
    <t>铁路</t>
    <phoneticPr fontId="5" type="noConversion"/>
  </si>
  <si>
    <t>龙泉</t>
    <phoneticPr fontId="5" type="noConversion"/>
  </si>
  <si>
    <t>华胜</t>
    <phoneticPr fontId="5" type="noConversion"/>
  </si>
  <si>
    <t>晋牛</t>
    <phoneticPr fontId="5" type="noConversion"/>
  </si>
  <si>
    <t>焦煤</t>
  </si>
  <si>
    <t>雪坪</t>
    <phoneticPr fontId="5" type="noConversion"/>
  </si>
  <si>
    <t>亿欣</t>
    <phoneticPr fontId="5" type="noConversion"/>
  </si>
  <si>
    <t>昊兴塬</t>
  </si>
  <si>
    <t>金辛达</t>
  </si>
  <si>
    <t>程家沟</t>
    <phoneticPr fontId="5" type="noConversion"/>
  </si>
  <si>
    <t>同基</t>
    <phoneticPr fontId="5" type="noConversion"/>
  </si>
  <si>
    <t>北辛窑</t>
  </si>
  <si>
    <t>四明山</t>
    <phoneticPr fontId="5" type="noConversion"/>
  </si>
  <si>
    <t>盖州</t>
    <phoneticPr fontId="5" type="noConversion"/>
  </si>
  <si>
    <t>胡底</t>
    <phoneticPr fontId="5" type="noConversion"/>
  </si>
  <si>
    <t>昊锦塬</t>
  </si>
  <si>
    <t>盛泰</t>
    <phoneticPr fontId="5" type="noConversion"/>
  </si>
  <si>
    <t>三交河</t>
    <phoneticPr fontId="5" type="noConversion"/>
  </si>
  <si>
    <t>神农</t>
    <phoneticPr fontId="5" type="noConversion"/>
  </si>
  <si>
    <t>坪上</t>
    <phoneticPr fontId="5" type="noConversion"/>
  </si>
  <si>
    <t>焦煤国际</t>
    <phoneticPr fontId="5" type="noConversion"/>
  </si>
  <si>
    <t>焦煤</t>
    <phoneticPr fontId="5" type="noConversion"/>
  </si>
  <si>
    <t>岳城</t>
    <phoneticPr fontId="5" type="noConversion"/>
  </si>
  <si>
    <t>集团煤</t>
    <phoneticPr fontId="5" type="noConversion"/>
  </si>
  <si>
    <t>襄汾浩群</t>
    <phoneticPr fontId="5" type="noConversion"/>
  </si>
  <si>
    <t>市场煤</t>
  </si>
  <si>
    <t>搿悦能源</t>
  </si>
  <si>
    <t>鑫健商贸</t>
  </si>
  <si>
    <t>洪洞阳光</t>
    <phoneticPr fontId="5" type="noConversion"/>
  </si>
  <si>
    <t>芳瑞芳菲</t>
  </si>
  <si>
    <t>鼎坤源</t>
  </si>
  <si>
    <t>陆港现代</t>
  </si>
  <si>
    <t>河南农投</t>
  </si>
  <si>
    <t>山西统配</t>
    <phoneticPr fontId="5" type="noConversion"/>
  </si>
  <si>
    <t>鑫鑫商贸</t>
    <phoneticPr fontId="5" type="noConversion"/>
  </si>
  <si>
    <t>骏盛通</t>
  </si>
  <si>
    <t>太行云商</t>
  </si>
  <si>
    <t>小峪</t>
    <phoneticPr fontId="5" type="noConversion"/>
  </si>
  <si>
    <t>莲盛</t>
    <phoneticPr fontId="5" type="noConversion"/>
  </si>
  <si>
    <t>野川</t>
  </si>
  <si>
    <t>辛置</t>
    <phoneticPr fontId="6" type="noConversion"/>
  </si>
  <si>
    <t>焦煤</t>
    <phoneticPr fontId="6" type="noConversion"/>
  </si>
  <si>
    <t>汽运</t>
    <phoneticPr fontId="6" type="noConversion"/>
  </si>
  <si>
    <t>小峪(汽运阳方口)</t>
    <phoneticPr fontId="5" type="noConversion"/>
  </si>
  <si>
    <t>集团煤</t>
    <phoneticPr fontId="6" type="noConversion"/>
  </si>
  <si>
    <t>铁路</t>
    <phoneticPr fontId="6" type="noConversion"/>
  </si>
  <si>
    <t>龙泉11</t>
    <phoneticPr fontId="5" type="noConversion"/>
  </si>
  <si>
    <t>小峪10</t>
    <phoneticPr fontId="6" type="noConversion"/>
  </si>
  <si>
    <t>炉峪口11</t>
    <phoneticPr fontId="5" type="noConversion"/>
  </si>
  <si>
    <t>供应商业称</t>
    <phoneticPr fontId="2" type="noConversion"/>
  </si>
  <si>
    <t>运费单价</t>
    <phoneticPr fontId="2" type="noConversion"/>
  </si>
  <si>
    <t>运费</t>
    <phoneticPr fontId="2" type="noConversion"/>
  </si>
  <si>
    <t>到厂价格</t>
    <phoneticPr fontId="2" type="noConversion"/>
  </si>
  <si>
    <t>矿发量</t>
    <phoneticPr fontId="2" type="noConversion"/>
  </si>
  <si>
    <t>矿发热量</t>
    <phoneticPr fontId="2" type="noConversion"/>
  </si>
  <si>
    <t>矿发价格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</si>
</sst>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0"/>
      <name val="等线"/>
      <family val="3"/>
      <charset val="134"/>
    </font>
    <font>
      <sz val="9"/>
      <name val="等线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0" fillId="0" borderId="0" xfId="0" applyAlignment="1">
      <alignment horizontal="left"/>
    </xf>
    <xf numFmtId="43" fontId="0" fillId="0" borderId="0" xfId="1" applyFont="1" applyAlignment="1"/>
    <xf numFmtId="43" fontId="0" fillId="0" borderId="0" xfId="0" applyNumberFormat="1"/>
  </cellXfs>
  <cellStyles count="2">
    <cellStyle name="常规" xfId="0" builtinId="0"/>
    <cellStyle name="千位分隔" xfId="1" builtinId="3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等线"/>
        <charset val="134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C5D7D-2E62-482B-9BFC-76AE990AD4AD}" name="表2" displayName="表2" ref="A1:L44" totalsRowShown="0" headerRowDxfId="3">
  <autoFilter ref="A1:L44" xr:uid="{274C5D7D-2E62-482B-9BFC-76AE990AD4AD}"/>
  <tableColumns count="12">
    <tableColumn id="1" xr3:uid="{0B3BF821-A641-4876-8ADC-0041FE00B866}" name="供应商"/>
    <tableColumn id="12" xr3:uid="{D525C76F-1D47-4F8A-BC35-2C6AC7A64A85}" name="供应商业称" dataDxfId="2"/>
    <tableColumn id="2" xr3:uid="{FEB5350A-5465-476A-B390-54F2603192D0}" name="含税运费"/>
    <tableColumn id="3" xr3:uid="{45C3A6DC-CC55-45B0-89AB-9258DEC2FF1C}" name="类别" dataDxfId="1"/>
    <tableColumn id="4" xr3:uid="{F5E645EF-341E-4AEA-BE01-D17C31066064}" name="运输方式" dataDxfId="0"/>
    <tableColumn id="6" xr3:uid="{2E255DBB-DC34-4ED5-8E15-502302CE74A8}" name="矿发单价"/>
    <tableColumn id="7" xr3:uid="{3AECDF2D-B153-45EC-9BA6-6245FBC9A206}" name="忻州物流"/>
    <tableColumn id="8" xr3:uid="{307D0964-EB31-4804-8E20-4404B01487A0}" name="铁路运费"/>
    <tableColumn id="10" xr3:uid="{9749BB7B-B1A7-4DFE-9DCD-43DAC712736F}" name="上站装卸"/>
    <tableColumn id="11" xr3:uid="{739FD06E-CC0A-4639-B440-233F92A84234}" name="上站短倒"/>
    <tableColumn id="9" xr3:uid="{97FF44F4-43DF-4516-9019-8014B51AB778}" name="下站装卸"/>
    <tableColumn id="5" xr3:uid="{885C30F9-00C2-4E07-AF45-E585D099C6A8}" name="到厂快成单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6"/>
  <sheetViews>
    <sheetView tabSelected="1" topLeftCell="A178" workbookViewId="0">
      <selection activeCell="A205" sqref="A205:XFD205"/>
    </sheetView>
  </sheetViews>
  <sheetFormatPr defaultRowHeight="13.5" x14ac:dyDescent="0.15"/>
  <cols>
    <col min="1" max="1" width="5.75" bestFit="1" customWidth="1"/>
    <col min="2" max="2" width="9.75" bestFit="1" customWidth="1"/>
    <col min="3" max="3" width="49.625" bestFit="1" customWidth="1"/>
    <col min="4" max="4" width="42.125" bestFit="1" customWidth="1"/>
    <col min="5" max="5" width="51" bestFit="1" customWidth="1"/>
    <col min="6" max="6" width="25.5" bestFit="1" customWidth="1"/>
    <col min="7" max="7" width="5.75" bestFit="1" customWidth="1"/>
    <col min="8" max="8" width="9.5" bestFit="1" customWidth="1"/>
    <col min="9" max="9" width="9.5" customWidth="1"/>
    <col min="12" max="12" width="11.625" bestFit="1" customWidth="1"/>
    <col min="13" max="13" width="17.25" bestFit="1" customWidth="1"/>
    <col min="14" max="14" width="18.375" bestFit="1" customWidth="1"/>
    <col min="15" max="15" width="17.25" bestFit="1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487</v>
      </c>
      <c r="J1" s="2" t="s">
        <v>417</v>
      </c>
      <c r="K1" s="2" t="s">
        <v>488</v>
      </c>
      <c r="L1" s="2" t="s">
        <v>484</v>
      </c>
      <c r="M1" s="2" t="s">
        <v>485</v>
      </c>
      <c r="N1" s="2" t="s">
        <v>486</v>
      </c>
      <c r="O1" s="2" t="s">
        <v>489</v>
      </c>
    </row>
    <row r="2" spans="1:15" x14ac:dyDescent="0.1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1403</v>
      </c>
      <c r="H2">
        <v>26101.84</v>
      </c>
      <c r="J2">
        <v>3501</v>
      </c>
      <c r="L2">
        <f>VLOOKUP(D2,运费!B:C,2,0)</f>
        <v>147.1</v>
      </c>
      <c r="M2" s="8">
        <f>H2*L2</f>
        <v>3839580.6639999999</v>
      </c>
      <c r="N2" s="8" cm="1">
        <f t="array" ref="N2">(_xlfn.IFS(J2&gt;=4300,570/550*J2,J2&gt;=3800,0.0806*J2,J2&gt;=3300,0.0706*J2,J2&gt;=2500,0.0676*J2,TRUE,0.02*J2)+10)*H2</f>
        <v>6712625.8539039996</v>
      </c>
    </row>
    <row r="3" spans="1:15" x14ac:dyDescent="0.15">
      <c r="A3">
        <v>2</v>
      </c>
      <c r="B3" t="s">
        <v>8</v>
      </c>
      <c r="C3" t="s">
        <v>13</v>
      </c>
      <c r="D3" t="s">
        <v>14</v>
      </c>
      <c r="E3" t="s">
        <v>15</v>
      </c>
      <c r="F3" t="s">
        <v>12</v>
      </c>
      <c r="G3">
        <v>500</v>
      </c>
      <c r="H3">
        <v>14377.61</v>
      </c>
      <c r="J3">
        <v>3311</v>
      </c>
      <c r="L3">
        <f>VLOOKUP(D3,运费!B:C,2,0)</f>
        <v>192.75</v>
      </c>
      <c r="M3" s="8">
        <f t="shared" ref="M3:M66" si="0">H3*L3</f>
        <v>2771284.3275000001</v>
      </c>
      <c r="N3" s="8" cm="1">
        <f t="array" ref="N3">(_xlfn.IFS(J3&gt;=4300,570/550*J3,J3&gt;=3800,0.0806*J3,J3&gt;=3300,0.0706*J3,J3&gt;=2500,0.0676*J3,TRUE,0.02*J3)+10)*H3</f>
        <v>3504637.3297259999</v>
      </c>
    </row>
    <row r="4" spans="1:15" x14ac:dyDescent="0.15">
      <c r="A4">
        <v>3</v>
      </c>
      <c r="B4" t="s">
        <v>8</v>
      </c>
      <c r="C4" t="s">
        <v>16</v>
      </c>
      <c r="D4" t="s">
        <v>17</v>
      </c>
      <c r="E4" t="s">
        <v>18</v>
      </c>
      <c r="F4" t="s">
        <v>12</v>
      </c>
      <c r="G4">
        <v>179</v>
      </c>
      <c r="H4">
        <v>3339.04</v>
      </c>
      <c r="J4">
        <v>4481</v>
      </c>
      <c r="L4">
        <f>VLOOKUP(D4,运费!B:C,2,0)</f>
        <v>21.8</v>
      </c>
      <c r="M4" s="8">
        <f t="shared" si="0"/>
        <v>72791.072</v>
      </c>
      <c r="N4" s="8" cm="1">
        <f t="array" ref="N4">(_xlfn.IFS(J4&gt;=4300,570/550*J4,J4&gt;=3800,0.0806*J4,J4&gt;=3300,0.0706*J4,J4&gt;=2500,0.0676*J4,TRUE,0.02*J4)+10)*H4</f>
        <v>15539710.030545454</v>
      </c>
    </row>
    <row r="5" spans="1:15" x14ac:dyDescent="0.15">
      <c r="A5">
        <v>4</v>
      </c>
      <c r="B5" t="s">
        <v>8</v>
      </c>
      <c r="C5" t="s">
        <v>19</v>
      </c>
      <c r="D5" t="s">
        <v>17</v>
      </c>
      <c r="E5" t="s">
        <v>18</v>
      </c>
      <c r="F5" t="s">
        <v>12</v>
      </c>
      <c r="G5">
        <v>262</v>
      </c>
      <c r="H5">
        <v>4852.58</v>
      </c>
      <c r="J5">
        <v>4481</v>
      </c>
      <c r="L5">
        <f>VLOOKUP(D5,运费!B:C,2,0)</f>
        <v>21.8</v>
      </c>
      <c r="M5" s="8">
        <f t="shared" si="0"/>
        <v>105786.24400000001</v>
      </c>
      <c r="N5" s="8" cm="1">
        <f t="array" ref="N5">(_xlfn.IFS(J5&gt;=4300,570/550*J5,J5&gt;=3800,0.0806*J5,J5&gt;=3300,0.0706*J5,J5&gt;=2500,0.0676*J5,TRUE,0.02*J5)+10)*H5</f>
        <v>22583642.633818183</v>
      </c>
    </row>
    <row r="6" spans="1:15" x14ac:dyDescent="0.15">
      <c r="A6">
        <v>5</v>
      </c>
      <c r="B6" t="s">
        <v>8</v>
      </c>
      <c r="C6" t="s">
        <v>20</v>
      </c>
      <c r="D6" t="s">
        <v>21</v>
      </c>
      <c r="E6" t="s">
        <v>22</v>
      </c>
      <c r="F6" t="s">
        <v>12</v>
      </c>
      <c r="G6">
        <v>235</v>
      </c>
      <c r="H6">
        <v>4284.12</v>
      </c>
      <c r="J6">
        <v>3960</v>
      </c>
      <c r="L6">
        <f>VLOOKUP(D6,运费!B:C,2,0)</f>
        <v>10.355</v>
      </c>
      <c r="M6" s="8">
        <f t="shared" si="0"/>
        <v>44362.062599999997</v>
      </c>
      <c r="N6" s="8" cm="1">
        <f t="array" ref="N6">(_xlfn.IFS(J6&gt;=4300,570/550*J6,J6&gt;=3800,0.0806*J6,J6&gt;=3300,0.0706*J6,J6&gt;=2500,0.0676*J6,TRUE,0.02*J6)+10)*H6</f>
        <v>1410229.4851200001</v>
      </c>
    </row>
    <row r="7" spans="1:15" x14ac:dyDescent="0.15">
      <c r="A7">
        <v>6</v>
      </c>
      <c r="B7" t="s">
        <v>8</v>
      </c>
      <c r="C7" t="s">
        <v>23</v>
      </c>
      <c r="D7" t="s">
        <v>24</v>
      </c>
      <c r="E7" t="s">
        <v>25</v>
      </c>
      <c r="F7" t="s">
        <v>12</v>
      </c>
      <c r="G7">
        <v>109</v>
      </c>
      <c r="H7">
        <v>3296</v>
      </c>
      <c r="J7">
        <v>4176</v>
      </c>
      <c r="L7">
        <f>VLOOKUP(D7,运费!B:C,2,0)</f>
        <v>33.79</v>
      </c>
      <c r="M7" s="8">
        <f t="shared" si="0"/>
        <v>111371.84</v>
      </c>
      <c r="N7" s="8" cm="1">
        <f t="array" ref="N7">(_xlfn.IFS(J7&gt;=4300,570/550*J7,J7&gt;=3800,0.0806*J7,J7&gt;=3300,0.0706*J7,J7&gt;=2500,0.0676*J7,TRUE,0.02*J7)+10)*H7</f>
        <v>1142346.1376</v>
      </c>
    </row>
    <row r="8" spans="1:15" x14ac:dyDescent="0.15">
      <c r="A8">
        <v>7</v>
      </c>
      <c r="B8" t="s">
        <v>8</v>
      </c>
      <c r="C8" t="s">
        <v>26</v>
      </c>
      <c r="D8" t="s">
        <v>27</v>
      </c>
      <c r="E8" t="s">
        <v>28</v>
      </c>
      <c r="F8" t="s">
        <v>12</v>
      </c>
      <c r="G8">
        <v>612</v>
      </c>
      <c r="H8">
        <v>19855.3</v>
      </c>
      <c r="J8">
        <v>4288</v>
      </c>
      <c r="L8">
        <f>VLOOKUP(D8,运费!B:C,2,0)</f>
        <v>104.5</v>
      </c>
      <c r="M8" s="8">
        <f t="shared" si="0"/>
        <v>2074878.8499999999</v>
      </c>
      <c r="N8" s="8" cm="1">
        <f t="array" ref="N8">(_xlfn.IFS(J8&gt;=4300,570/550*J8,J8&gt;=3800,0.0806*J8,J8&gt;=3300,0.0706*J8,J8&gt;=2500,0.0676*J8,TRUE,0.02*J8)+10)*H8</f>
        <v>7060798.8278399995</v>
      </c>
    </row>
    <row r="9" spans="1:15" x14ac:dyDescent="0.15">
      <c r="A9">
        <v>8</v>
      </c>
      <c r="B9" t="s">
        <v>8</v>
      </c>
      <c r="C9" t="s">
        <v>29</v>
      </c>
      <c r="D9" t="s">
        <v>30</v>
      </c>
      <c r="E9" t="s">
        <v>31</v>
      </c>
      <c r="F9" t="s">
        <v>12</v>
      </c>
      <c r="G9">
        <v>182</v>
      </c>
      <c r="H9">
        <v>5754</v>
      </c>
      <c r="J9">
        <v>4511</v>
      </c>
      <c r="L9">
        <f>VLOOKUP(D9,运费!B:C,2,0)</f>
        <v>78</v>
      </c>
      <c r="M9" s="8">
        <f t="shared" si="0"/>
        <v>448812</v>
      </c>
      <c r="N9" s="8" cm="1">
        <f t="array" ref="N9">(_xlfn.IFS(J9&gt;=4300,570/550*J9,J9&gt;=3800,0.0806*J9,J9&gt;=3300,0.0706*J9,J9&gt;=2500,0.0676*J9,TRUE,0.02*J9)+10)*H9</f>
        <v>26957699.236363634</v>
      </c>
    </row>
    <row r="10" spans="1:15" x14ac:dyDescent="0.15">
      <c r="A10">
        <v>9</v>
      </c>
      <c r="B10" t="s">
        <v>8</v>
      </c>
      <c r="C10" t="s">
        <v>32</v>
      </c>
      <c r="D10" t="s">
        <v>33</v>
      </c>
      <c r="E10" t="s">
        <v>34</v>
      </c>
      <c r="F10" t="s">
        <v>12</v>
      </c>
      <c r="G10">
        <v>879</v>
      </c>
      <c r="H10">
        <v>28078.13</v>
      </c>
      <c r="J10">
        <v>4388</v>
      </c>
      <c r="L10">
        <f>VLOOKUP(D10,运费!B:C,2,0)</f>
        <v>58</v>
      </c>
      <c r="M10" s="8">
        <f t="shared" si="0"/>
        <v>1628531.54</v>
      </c>
      <c r="N10" s="8" cm="1">
        <f t="array" ref="N10">(_xlfn.IFS(J10&gt;=4300,570/550*J10,J10&gt;=3800,0.0806*J10,J10&gt;=3300,0.0706*J10,J10&gt;=2500,0.0676*J10,TRUE,0.02*J10)+10)*H10</f>
        <v>127967864.26509093</v>
      </c>
    </row>
    <row r="11" spans="1:15" x14ac:dyDescent="0.15">
      <c r="A11">
        <v>10</v>
      </c>
      <c r="B11" t="s">
        <v>8</v>
      </c>
      <c r="C11" t="s">
        <v>35</v>
      </c>
      <c r="D11" t="s">
        <v>36</v>
      </c>
      <c r="E11" t="s">
        <v>37</v>
      </c>
      <c r="F11" t="s">
        <v>12</v>
      </c>
      <c r="G11">
        <v>325</v>
      </c>
      <c r="H11">
        <v>5873.36</v>
      </c>
      <c r="J11">
        <v>4448</v>
      </c>
      <c r="L11">
        <f>VLOOKUP(D11,运费!B:C,2,0)</f>
        <v>10.355</v>
      </c>
      <c r="M11" s="8">
        <f t="shared" si="0"/>
        <v>60818.642800000001</v>
      </c>
      <c r="N11" s="8" cm="1">
        <f t="array" ref="N11">(_xlfn.IFS(J11&gt;=4300,570/550*J11,J11&gt;=3800,0.0806*J11,J11&gt;=3300,0.0706*J11,J11&gt;=2500,0.0676*J11,TRUE,0.02*J11)+10)*H11</f>
        <v>27133428.162909091</v>
      </c>
    </row>
    <row r="12" spans="1:15" x14ac:dyDescent="0.15">
      <c r="A12">
        <v>11</v>
      </c>
      <c r="B12" t="s">
        <v>8</v>
      </c>
      <c r="C12" t="s">
        <v>38</v>
      </c>
      <c r="D12" t="s">
        <v>36</v>
      </c>
      <c r="E12" t="s">
        <v>37</v>
      </c>
      <c r="F12" t="s">
        <v>12</v>
      </c>
      <c r="G12">
        <v>118</v>
      </c>
      <c r="H12">
        <v>2144.96</v>
      </c>
      <c r="J12">
        <v>4448</v>
      </c>
      <c r="L12">
        <f>VLOOKUP(D12,运费!B:C,2,0)</f>
        <v>10.355</v>
      </c>
      <c r="M12" s="8">
        <f t="shared" si="0"/>
        <v>22211.060800000003</v>
      </c>
      <c r="N12" s="8" cm="1">
        <f t="array" ref="N12">(_xlfn.IFS(J12&gt;=4300,570/550*J12,J12&gt;=3800,0.0806*J12,J12&gt;=3300,0.0706*J12,J12&gt;=2500,0.0676*J12,TRUE,0.02*J12)+10)*H12</f>
        <v>9909169.2101818193</v>
      </c>
    </row>
    <row r="13" spans="1:15" x14ac:dyDescent="0.15">
      <c r="A13">
        <v>12</v>
      </c>
      <c r="B13" t="s">
        <v>8</v>
      </c>
      <c r="C13" t="s">
        <v>39</v>
      </c>
      <c r="D13" t="s">
        <v>40</v>
      </c>
      <c r="E13" t="s">
        <v>41</v>
      </c>
      <c r="F13" t="s">
        <v>12</v>
      </c>
      <c r="G13">
        <v>132</v>
      </c>
      <c r="H13">
        <v>2411.8200000000002</v>
      </c>
      <c r="J13">
        <v>4032</v>
      </c>
      <c r="L13">
        <f>VLOOKUP(D13,运费!B:C,2,0)</f>
        <v>10.355</v>
      </c>
      <c r="M13" s="8">
        <f t="shared" si="0"/>
        <v>24974.396100000002</v>
      </c>
      <c r="N13" s="8" cm="1">
        <f t="array" ref="N13">(_xlfn.IFS(J13&gt;=4300,570/550*J13,J13&gt;=3800,0.0806*J13,J13&gt;=3300,0.0706*J13,J13&gt;=2500,0.0676*J13,TRUE,0.02*J13)+10)*H13</f>
        <v>807909.53414400003</v>
      </c>
    </row>
    <row r="14" spans="1:15" x14ac:dyDescent="0.15">
      <c r="A14">
        <v>13</v>
      </c>
      <c r="B14" t="s">
        <v>8</v>
      </c>
      <c r="C14" t="s">
        <v>42</v>
      </c>
      <c r="D14" t="s">
        <v>43</v>
      </c>
      <c r="E14" t="s">
        <v>44</v>
      </c>
      <c r="F14" t="s">
        <v>45</v>
      </c>
      <c r="G14">
        <v>156</v>
      </c>
      <c r="H14">
        <v>4941.26</v>
      </c>
      <c r="J14">
        <v>4056</v>
      </c>
      <c r="L14">
        <f>VLOOKUP(D14,运费!B:C,2,0)</f>
        <v>117</v>
      </c>
      <c r="M14" s="8">
        <f t="shared" si="0"/>
        <v>578127.42000000004</v>
      </c>
      <c r="N14" s="8" cm="1">
        <f t="array" ref="N14">(_xlfn.IFS(J14&gt;=4300,570/550*J14,J14&gt;=3800,0.0806*J14,J14&gt;=3300,0.0706*J14,J14&gt;=2500,0.0676*J14,TRUE,0.02*J14)+10)*H14</f>
        <v>1664777.6951360002</v>
      </c>
    </row>
    <row r="15" spans="1:15" x14ac:dyDescent="0.15">
      <c r="A15">
        <v>14</v>
      </c>
      <c r="B15" t="s">
        <v>8</v>
      </c>
      <c r="C15" t="s">
        <v>46</v>
      </c>
      <c r="D15" t="s">
        <v>47</v>
      </c>
      <c r="E15" t="s">
        <v>48</v>
      </c>
      <c r="F15" t="s">
        <v>45</v>
      </c>
      <c r="G15">
        <v>19</v>
      </c>
      <c r="H15">
        <v>610.05999999999995</v>
      </c>
      <c r="J15">
        <v>3866</v>
      </c>
      <c r="L15">
        <f>VLOOKUP(D15,运费!B:C,2,0)</f>
        <v>81</v>
      </c>
      <c r="M15" s="8">
        <f t="shared" si="0"/>
        <v>49414.859999999993</v>
      </c>
      <c r="N15" s="8" cm="1">
        <f t="array" ref="N15">(_xlfn.IFS(J15&gt;=4300,570/550*J15,J15&gt;=3800,0.0806*J15,J15&gt;=3300,0.0706*J15,J15&gt;=2500,0.0676*J15,TRUE,0.02*J15)+10)*H15</f>
        <v>196195.05197599999</v>
      </c>
    </row>
    <row r="16" spans="1:15" x14ac:dyDescent="0.15">
      <c r="A16">
        <v>15</v>
      </c>
      <c r="B16" t="s">
        <v>8</v>
      </c>
      <c r="C16" t="s">
        <v>49</v>
      </c>
      <c r="D16" t="s">
        <v>50</v>
      </c>
      <c r="E16" t="s">
        <v>51</v>
      </c>
      <c r="F16" t="s">
        <v>45</v>
      </c>
      <c r="G16">
        <v>92</v>
      </c>
      <c r="H16">
        <v>2957.5</v>
      </c>
      <c r="J16">
        <v>3355</v>
      </c>
      <c r="L16">
        <f>VLOOKUP(D16,运费!B:C,2,0)</f>
        <v>79</v>
      </c>
      <c r="M16" s="8">
        <f t="shared" si="0"/>
        <v>233642.5</v>
      </c>
      <c r="N16" s="8" cm="1">
        <f t="array" ref="N16">(_xlfn.IFS(J16&gt;=4300,570/550*J16,J16&gt;=3800,0.0806*J16,J16&gt;=3300,0.0706*J16,J16&gt;=2500,0.0676*J16,TRUE,0.02*J16)+10)*H16</f>
        <v>730097.32250000001</v>
      </c>
    </row>
    <row r="17" spans="1:14" x14ac:dyDescent="0.15">
      <c r="A17">
        <v>16</v>
      </c>
      <c r="B17" t="s">
        <v>8</v>
      </c>
      <c r="C17" t="s">
        <v>52</v>
      </c>
      <c r="D17" t="s">
        <v>53</v>
      </c>
      <c r="E17" t="s">
        <v>54</v>
      </c>
      <c r="F17" t="s">
        <v>45</v>
      </c>
      <c r="G17">
        <v>77</v>
      </c>
      <c r="H17">
        <v>2423.62</v>
      </c>
      <c r="J17">
        <v>3618</v>
      </c>
      <c r="L17">
        <f>VLOOKUP(D17,运费!B:C,2,0)</f>
        <v>85</v>
      </c>
      <c r="M17" s="8">
        <f t="shared" si="0"/>
        <v>206007.69999999998</v>
      </c>
      <c r="N17" s="8" cm="1">
        <f t="array" ref="N17">(_xlfn.IFS(J17&gt;=4300,570/550*J17,J17&gt;=3800,0.0806*J17,J17&gt;=3300,0.0706*J17,J17&gt;=2500,0.0676*J17,TRUE,0.02*J17)+10)*H17</f>
        <v>643303.39549599995</v>
      </c>
    </row>
    <row r="18" spans="1:14" x14ac:dyDescent="0.15">
      <c r="A18">
        <v>17</v>
      </c>
      <c r="B18" t="s">
        <v>8</v>
      </c>
      <c r="C18" t="s">
        <v>55</v>
      </c>
      <c r="D18" t="s">
        <v>56</v>
      </c>
      <c r="E18" t="s">
        <v>57</v>
      </c>
      <c r="F18" t="s">
        <v>12</v>
      </c>
      <c r="G18">
        <v>398</v>
      </c>
      <c r="H18">
        <v>12357.18</v>
      </c>
      <c r="J18">
        <v>3587</v>
      </c>
      <c r="L18">
        <f>VLOOKUP(D18,运费!B:C,2,0)</f>
        <v>67</v>
      </c>
      <c r="M18" s="8">
        <f t="shared" si="0"/>
        <v>827931.06</v>
      </c>
      <c r="N18" s="8" cm="1">
        <f t="array" ref="N18">(_xlfn.IFS(J18&gt;=4300,570/550*J18,J18&gt;=3800,0.0806*J18,J18&gt;=3300,0.0706*J18,J18&gt;=2500,0.0676*J18,TRUE,0.02*J18)+10)*H18</f>
        <v>3252931.2489960003</v>
      </c>
    </row>
    <row r="19" spans="1:14" x14ac:dyDescent="0.15">
      <c r="A19">
        <v>18</v>
      </c>
      <c r="B19" t="s">
        <v>8</v>
      </c>
      <c r="C19" t="s">
        <v>58</v>
      </c>
      <c r="D19" t="s">
        <v>59</v>
      </c>
      <c r="E19" t="s">
        <v>60</v>
      </c>
      <c r="F19" t="s">
        <v>12</v>
      </c>
      <c r="G19">
        <v>426</v>
      </c>
      <c r="H19">
        <v>7751.66</v>
      </c>
      <c r="J19">
        <v>4296</v>
      </c>
      <c r="L19">
        <f>VLOOKUP(D19,运费!B:C,2,0)</f>
        <v>10.355</v>
      </c>
      <c r="M19" s="8">
        <f t="shared" si="0"/>
        <v>80268.439299999998</v>
      </c>
      <c r="N19" s="8" cm="1">
        <f t="array" ref="N19">(_xlfn.IFS(J19&gt;=4300,570/550*J19,J19&gt;=3800,0.0806*J19,J19&gt;=3300,0.0706*J19,J19&gt;=2500,0.0676*J19,TRUE,0.02*J19)+10)*H19</f>
        <v>2761587.787616</v>
      </c>
    </row>
    <row r="20" spans="1:14" x14ac:dyDescent="0.15">
      <c r="A20">
        <v>19</v>
      </c>
      <c r="B20" t="s">
        <v>8</v>
      </c>
      <c r="C20" t="s">
        <v>61</v>
      </c>
      <c r="D20" t="s">
        <v>62</v>
      </c>
      <c r="E20" t="s">
        <v>63</v>
      </c>
      <c r="F20" t="s">
        <v>12</v>
      </c>
      <c r="G20">
        <v>1066</v>
      </c>
      <c r="H20">
        <v>19978.28</v>
      </c>
      <c r="J20">
        <v>4180</v>
      </c>
      <c r="L20">
        <f>VLOOKUP(D20,运费!B:C,2,0)</f>
        <v>21.8</v>
      </c>
      <c r="M20" s="8">
        <f t="shared" si="0"/>
        <v>435526.50400000002</v>
      </c>
      <c r="N20" s="8" cm="1">
        <f t="array" ref="N20">(_xlfn.IFS(J20&gt;=4300,570/550*J20,J20&gt;=3800,0.0806*J20,J20&gt;=3300,0.0706*J20,J20&gt;=2500,0.0676*J20,TRUE,0.02*J20)+10)*H20</f>
        <v>6930625.1582399998</v>
      </c>
    </row>
    <row r="21" spans="1:14" x14ac:dyDescent="0.15">
      <c r="A21">
        <v>20</v>
      </c>
      <c r="B21" t="s">
        <v>8</v>
      </c>
      <c r="C21" t="s">
        <v>64</v>
      </c>
      <c r="D21" t="s">
        <v>62</v>
      </c>
      <c r="E21" t="s">
        <v>63</v>
      </c>
      <c r="F21" t="s">
        <v>12</v>
      </c>
      <c r="G21">
        <v>173</v>
      </c>
      <c r="H21">
        <v>3213.9</v>
      </c>
      <c r="J21">
        <v>4180</v>
      </c>
      <c r="L21">
        <f>VLOOKUP(D21,运费!B:C,2,0)</f>
        <v>21.8</v>
      </c>
      <c r="M21" s="8">
        <f t="shared" si="0"/>
        <v>70063.02</v>
      </c>
      <c r="N21" s="8" cm="1">
        <f t="array" ref="N21">(_xlfn.IFS(J21&gt;=4300,570/550*J21,J21&gt;=3800,0.0806*J21,J21&gt;=3300,0.0706*J21,J21&gt;=2500,0.0676*J21,TRUE,0.02*J21)+10)*H21</f>
        <v>1114927.6212000002</v>
      </c>
    </row>
    <row r="22" spans="1:14" x14ac:dyDescent="0.15">
      <c r="A22">
        <v>21</v>
      </c>
      <c r="B22" t="s">
        <v>8</v>
      </c>
      <c r="C22" t="s">
        <v>65</v>
      </c>
      <c r="D22" t="s">
        <v>66</v>
      </c>
      <c r="E22" t="s">
        <v>67</v>
      </c>
      <c r="F22" t="s">
        <v>12</v>
      </c>
      <c r="G22">
        <v>327</v>
      </c>
      <c r="H22">
        <v>10689.2</v>
      </c>
      <c r="J22">
        <v>4348</v>
      </c>
      <c r="L22">
        <f>VLOOKUP(D22,运费!B:C,2,0)</f>
        <v>101.5</v>
      </c>
      <c r="M22" s="8">
        <f t="shared" si="0"/>
        <v>1084953.8</v>
      </c>
      <c r="N22" s="8" cm="1">
        <f t="array" ref="N22">(_xlfn.IFS(J22&gt;=4300,570/550*J22,J22&gt;=3800,0.0806*J22,J22&gt;=3300,0.0706*J22,J22&gt;=2500,0.0676*J22,TRUE,0.02*J22)+10)*H22</f>
        <v>48273593.294545457</v>
      </c>
    </row>
    <row r="23" spans="1:14" x14ac:dyDescent="0.15">
      <c r="A23">
        <v>22</v>
      </c>
      <c r="B23" t="s">
        <v>8</v>
      </c>
      <c r="C23" t="s">
        <v>68</v>
      </c>
      <c r="D23" t="s">
        <v>69</v>
      </c>
      <c r="E23" t="s">
        <v>70</v>
      </c>
      <c r="F23" t="s">
        <v>12</v>
      </c>
      <c r="G23">
        <v>391</v>
      </c>
      <c r="H23">
        <v>12664.58</v>
      </c>
      <c r="J23">
        <v>4851</v>
      </c>
      <c r="L23">
        <f>VLOOKUP(D23,运费!B:C,2,0)</f>
        <v>104.5</v>
      </c>
      <c r="M23" s="8">
        <f t="shared" si="0"/>
        <v>1323448.6100000001</v>
      </c>
      <c r="N23" s="8" cm="1">
        <f t="array" ref="N23">(_xlfn.IFS(J23&gt;=4300,570/550*J23,J23&gt;=3800,0.0806*J23,J23&gt;=3300,0.0706*J23,J23&gt;=2500,0.0676*J23,TRUE,0.02*J23)+10)*H23</f>
        <v>63796555.291999996</v>
      </c>
    </row>
    <row r="24" spans="1:14" x14ac:dyDescent="0.15">
      <c r="A24">
        <v>23</v>
      </c>
      <c r="B24" t="s">
        <v>8</v>
      </c>
      <c r="C24" t="s">
        <v>71</v>
      </c>
      <c r="D24" t="s">
        <v>72</v>
      </c>
      <c r="E24" t="s">
        <v>73</v>
      </c>
      <c r="F24" t="s">
        <v>12</v>
      </c>
      <c r="G24">
        <v>531</v>
      </c>
      <c r="H24">
        <v>9995.5400000000009</v>
      </c>
      <c r="J24">
        <v>4180</v>
      </c>
      <c r="L24">
        <f>VLOOKUP(D24,运费!B:C,2,0)</f>
        <v>10.355</v>
      </c>
      <c r="M24" s="8">
        <f t="shared" si="0"/>
        <v>103503.81670000001</v>
      </c>
      <c r="N24" s="8" cm="1">
        <f t="array" ref="N24">(_xlfn.IFS(J24&gt;=4300,570/550*J24,J24&gt;=3800,0.0806*J24,J24&gt;=3300,0.0706*J24,J24&gt;=2500,0.0676*J24,TRUE,0.02*J24)+10)*H24</f>
        <v>3467532.7903200006</v>
      </c>
    </row>
    <row r="25" spans="1:14" x14ac:dyDescent="0.15">
      <c r="A25">
        <v>24</v>
      </c>
      <c r="B25" t="s">
        <v>8</v>
      </c>
      <c r="C25" t="s">
        <v>74</v>
      </c>
      <c r="D25" t="s">
        <v>75</v>
      </c>
      <c r="E25" t="s">
        <v>76</v>
      </c>
      <c r="F25" t="s">
        <v>12</v>
      </c>
      <c r="G25">
        <v>1319</v>
      </c>
      <c r="H25">
        <v>24614.799999999999</v>
      </c>
      <c r="J25">
        <v>4434</v>
      </c>
      <c r="L25">
        <f>VLOOKUP(D25,运费!B:C,2,0)</f>
        <v>21.8</v>
      </c>
      <c r="M25" s="8">
        <f t="shared" si="0"/>
        <v>536602.64</v>
      </c>
      <c r="N25" s="8" cm="1">
        <f t="array" ref="N25">(_xlfn.IFS(J25&gt;=4300,570/550*J25,J25&gt;=3800,0.0806*J25,J25&gt;=3300,0.0706*J25,J25&gt;=2500,0.0676*J25,TRUE,0.02*J25)+10)*H25</f>
        <v>113356972.04363635</v>
      </c>
    </row>
    <row r="26" spans="1:14" x14ac:dyDescent="0.15">
      <c r="A26">
        <v>25</v>
      </c>
      <c r="B26" t="s">
        <v>8</v>
      </c>
      <c r="C26" t="s">
        <v>77</v>
      </c>
      <c r="D26" t="s">
        <v>75</v>
      </c>
      <c r="E26" t="s">
        <v>76</v>
      </c>
      <c r="F26" t="s">
        <v>12</v>
      </c>
      <c r="G26">
        <v>511</v>
      </c>
      <c r="H26">
        <v>9549.74</v>
      </c>
      <c r="J26">
        <v>4434</v>
      </c>
      <c r="L26">
        <f>VLOOKUP(D26,运费!B:C,2,0)</f>
        <v>21.8</v>
      </c>
      <c r="M26" s="8">
        <f t="shared" si="0"/>
        <v>208184.33199999999</v>
      </c>
      <c r="N26" s="8" cm="1">
        <f t="array" ref="N26">(_xlfn.IFS(J26&gt;=4300,570/550*J26,J26&gt;=3800,0.0806*J26,J26&gt;=3300,0.0706*J26,J26&gt;=2500,0.0676*J26,TRUE,0.02*J26)+10)*H26</f>
        <v>43978809.911272727</v>
      </c>
    </row>
    <row r="27" spans="1:14" x14ac:dyDescent="0.15">
      <c r="A27">
        <v>26</v>
      </c>
      <c r="B27" t="s">
        <v>8</v>
      </c>
      <c r="C27" t="s">
        <v>78</v>
      </c>
      <c r="D27" t="s">
        <v>79</v>
      </c>
      <c r="E27" t="s">
        <v>80</v>
      </c>
      <c r="F27" t="s">
        <v>12</v>
      </c>
      <c r="G27">
        <v>258</v>
      </c>
      <c r="H27">
        <v>4778.42</v>
      </c>
      <c r="J27">
        <v>3996</v>
      </c>
      <c r="L27">
        <f>VLOOKUP(D27,运费!B:C,2,0)</f>
        <v>21.8</v>
      </c>
      <c r="M27" s="8">
        <f t="shared" si="0"/>
        <v>104169.55600000001</v>
      </c>
      <c r="N27" s="8" cm="1">
        <f t="array" ref="N27">(_xlfn.IFS(J27&gt;=4300,570/550*J27,J27&gt;=3800,0.0806*J27,J27&gt;=3300,0.0706*J27,J27&gt;=2500,0.0676*J27,TRUE,0.02*J27)+10)*H27</f>
        <v>1586806.2453920001</v>
      </c>
    </row>
    <row r="28" spans="1:14" x14ac:dyDescent="0.15">
      <c r="A28">
        <v>27</v>
      </c>
      <c r="B28" t="s">
        <v>8</v>
      </c>
      <c r="C28" t="s">
        <v>81</v>
      </c>
      <c r="D28" t="s">
        <v>82</v>
      </c>
      <c r="E28" t="s">
        <v>83</v>
      </c>
      <c r="F28" t="s">
        <v>12</v>
      </c>
      <c r="G28">
        <v>175</v>
      </c>
      <c r="H28">
        <v>3262.44</v>
      </c>
      <c r="J28">
        <v>4643</v>
      </c>
      <c r="L28">
        <f>VLOOKUP(D28,运费!B:C,2,0)</f>
        <v>21.8</v>
      </c>
      <c r="M28" s="8">
        <f t="shared" si="0"/>
        <v>71121.19200000001</v>
      </c>
      <c r="N28" s="8" cm="1">
        <f t="array" ref="N28">(_xlfn.IFS(J28&gt;=4300,570/550*J28,J28&gt;=3800,0.0806*J28,J28&gt;=3300,0.0706*J28,J28&gt;=2500,0.0676*J28,TRUE,0.02*J28)+10)*H28</f>
        <v>15730951.82618182</v>
      </c>
    </row>
    <row r="29" spans="1:14" x14ac:dyDescent="0.15">
      <c r="A29">
        <v>28</v>
      </c>
      <c r="B29" t="s">
        <v>8</v>
      </c>
      <c r="C29" t="s">
        <v>84</v>
      </c>
      <c r="D29" t="s">
        <v>82</v>
      </c>
      <c r="E29" t="s">
        <v>83</v>
      </c>
      <c r="F29" t="s">
        <v>12</v>
      </c>
      <c r="G29">
        <v>127</v>
      </c>
      <c r="H29">
        <v>2381.3200000000002</v>
      </c>
      <c r="J29">
        <v>4643</v>
      </c>
      <c r="L29">
        <f>VLOOKUP(D29,运费!B:C,2,0)</f>
        <v>21.8</v>
      </c>
      <c r="M29" s="8">
        <f t="shared" si="0"/>
        <v>51912.776000000005</v>
      </c>
      <c r="N29" s="8" cm="1">
        <f t="array" ref="N29">(_xlfn.IFS(J29&gt;=4300,570/550*J29,J29&gt;=3800,0.0806*J29,J29&gt;=3300,0.0706*J29,J29&gt;=2500,0.0676*J29,TRUE,0.02*J29)+10)*H29</f>
        <v>11482335.369454546</v>
      </c>
    </row>
    <row r="30" spans="1:14" x14ac:dyDescent="0.15">
      <c r="A30">
        <v>29</v>
      </c>
      <c r="B30" t="s">
        <v>8</v>
      </c>
      <c r="C30" t="s">
        <v>85</v>
      </c>
      <c r="D30" t="s">
        <v>86</v>
      </c>
      <c r="E30" t="s">
        <v>87</v>
      </c>
      <c r="F30" t="s">
        <v>12</v>
      </c>
      <c r="G30">
        <v>199</v>
      </c>
      <c r="H30">
        <v>3682.26</v>
      </c>
      <c r="J30">
        <v>3408</v>
      </c>
      <c r="L30">
        <f>VLOOKUP(D30,运费!B:C,2,0)</f>
        <v>116.8</v>
      </c>
      <c r="M30" s="8">
        <f t="shared" si="0"/>
        <v>430087.96799999999</v>
      </c>
      <c r="N30" s="8" cm="1">
        <f t="array" ref="N30">(_xlfn.IFS(J30&gt;=4300,570/550*J30,J30&gt;=3800,0.0806*J30,J30&gt;=3300,0.0706*J30,J30&gt;=2500,0.0676*J30,TRUE,0.02*J30)+10)*H30</f>
        <v>922792.03084799997</v>
      </c>
    </row>
    <row r="31" spans="1:14" x14ac:dyDescent="0.15">
      <c r="A31">
        <v>30</v>
      </c>
      <c r="B31" t="s">
        <v>8</v>
      </c>
      <c r="C31" t="s">
        <v>88</v>
      </c>
      <c r="D31" t="s">
        <v>89</v>
      </c>
      <c r="E31" t="s">
        <v>90</v>
      </c>
      <c r="F31" t="s">
        <v>12</v>
      </c>
      <c r="G31">
        <v>1319</v>
      </c>
      <c r="H31">
        <v>24573.08</v>
      </c>
      <c r="J31">
        <v>4818</v>
      </c>
      <c r="L31">
        <f>VLOOKUP(D31,运费!B:C,2,0)</f>
        <v>108.51</v>
      </c>
      <c r="M31" s="8">
        <f t="shared" si="0"/>
        <v>2666424.9108000002</v>
      </c>
      <c r="N31" s="8" cm="1">
        <f t="array" ref="N31">(_xlfn.IFS(J31&gt;=4300,570/550*J31,J31&gt;=3800,0.0806*J31,J31&gt;=3300,0.0706*J31,J31&gt;=2500,0.0676*J31,TRUE,0.02*J31)+10)*H31</f>
        <v>122944033.85600001</v>
      </c>
    </row>
    <row r="32" spans="1:14" x14ac:dyDescent="0.15">
      <c r="A32">
        <v>31</v>
      </c>
      <c r="B32" t="s">
        <v>8</v>
      </c>
      <c r="C32" t="s">
        <v>91</v>
      </c>
      <c r="D32" t="s">
        <v>92</v>
      </c>
      <c r="E32" t="s">
        <v>93</v>
      </c>
      <c r="F32" t="s">
        <v>12</v>
      </c>
      <c r="G32">
        <v>142</v>
      </c>
      <c r="H32">
        <v>4256.12</v>
      </c>
      <c r="J32">
        <v>4367</v>
      </c>
      <c r="L32">
        <f>VLOOKUP(D32,运费!B:C,2,0)</f>
        <v>33.79</v>
      </c>
      <c r="M32" s="8">
        <f t="shared" si="0"/>
        <v>143814.2948</v>
      </c>
      <c r="N32" s="8" cm="1">
        <f t="array" ref="N32">(_xlfn.IFS(J32&gt;=4300,570/550*J32,J32&gt;=3800,0.0806*J32,J32&gt;=3300,0.0706*J32,J32&gt;=2500,0.0676*J32,TRUE,0.02*J32)+10)*H32</f>
        <v>19304909.096000001</v>
      </c>
    </row>
    <row r="33" spans="1:14" x14ac:dyDescent="0.15">
      <c r="A33">
        <v>32</v>
      </c>
      <c r="B33" t="s">
        <v>8</v>
      </c>
      <c r="C33" t="s">
        <v>94</v>
      </c>
      <c r="D33" t="s">
        <v>92</v>
      </c>
      <c r="E33" t="s">
        <v>93</v>
      </c>
      <c r="F33" t="s">
        <v>12</v>
      </c>
      <c r="G33">
        <v>49</v>
      </c>
      <c r="H33">
        <v>1495.16</v>
      </c>
      <c r="J33">
        <v>4367</v>
      </c>
      <c r="L33">
        <f>VLOOKUP(D33,运费!B:C,2,0)</f>
        <v>33.79</v>
      </c>
      <c r="M33" s="8">
        <f t="shared" si="0"/>
        <v>50521.456400000003</v>
      </c>
      <c r="N33" s="8" cm="1">
        <f t="array" ref="N33">(_xlfn.IFS(J33&gt;=4300,570/550*J33,J33&gt;=3800,0.0806*J33,J33&gt;=3300,0.0706*J33,J33&gt;=2500,0.0676*J33,TRUE,0.02*J33)+10)*H33</f>
        <v>6781746.7280000011</v>
      </c>
    </row>
    <row r="34" spans="1:14" x14ac:dyDescent="0.15">
      <c r="A34">
        <v>33</v>
      </c>
      <c r="B34" t="s">
        <v>8</v>
      </c>
      <c r="C34" t="s">
        <v>95</v>
      </c>
      <c r="D34" t="s">
        <v>96</v>
      </c>
      <c r="E34" t="s">
        <v>97</v>
      </c>
      <c r="F34" t="s">
        <v>12</v>
      </c>
      <c r="G34">
        <v>169</v>
      </c>
      <c r="H34">
        <v>5461.56</v>
      </c>
      <c r="J34">
        <v>3762</v>
      </c>
      <c r="L34">
        <f>VLOOKUP(D34,运费!B:C,2,0)</f>
        <v>60.5</v>
      </c>
      <c r="M34" s="8">
        <f t="shared" si="0"/>
        <v>330424.38</v>
      </c>
      <c r="N34" s="8" cm="1">
        <f t="array" ref="N34">(_xlfn.IFS(J34&gt;=4300,570/550*J34,J34&gt;=3800,0.0806*J34,J34&gt;=3300,0.0706*J34,J34&gt;=2500,0.0676*J34,TRUE,0.02*J34)+10)*H34</f>
        <v>1505190.6436320001</v>
      </c>
    </row>
    <row r="35" spans="1:14" x14ac:dyDescent="0.15">
      <c r="A35">
        <v>1</v>
      </c>
      <c r="B35" t="s">
        <v>98</v>
      </c>
      <c r="C35" t="s">
        <v>99</v>
      </c>
      <c r="D35" t="s">
        <v>10</v>
      </c>
      <c r="E35" t="s">
        <v>100</v>
      </c>
      <c r="F35" t="s">
        <v>12</v>
      </c>
      <c r="G35">
        <v>1864</v>
      </c>
      <c r="H35">
        <v>34467.599999999999</v>
      </c>
      <c r="J35">
        <v>3243</v>
      </c>
      <c r="L35">
        <f>VLOOKUP(D35,运费!B:C,2,0)</f>
        <v>147.1</v>
      </c>
      <c r="M35" s="8">
        <f t="shared" si="0"/>
        <v>5070183.96</v>
      </c>
      <c r="N35" s="8" cm="1">
        <f t="array" ref="N35">(_xlfn.IFS(J35&gt;=4300,570/550*J35,J35&gt;=3800,0.0806*J35,J35&gt;=3300,0.0706*J35,J35&gt;=2500,0.0676*J35,TRUE,0.02*J35)+10)*H35</f>
        <v>7900897.6516799983</v>
      </c>
    </row>
    <row r="36" spans="1:14" x14ac:dyDescent="0.15">
      <c r="A36">
        <v>2</v>
      </c>
      <c r="B36" t="s">
        <v>98</v>
      </c>
      <c r="C36" t="s">
        <v>13</v>
      </c>
      <c r="D36" t="s">
        <v>14</v>
      </c>
      <c r="E36" t="s">
        <v>101</v>
      </c>
      <c r="F36" t="s">
        <v>12</v>
      </c>
      <c r="G36">
        <v>163</v>
      </c>
      <c r="H36">
        <v>4805.0200000000004</v>
      </c>
      <c r="J36">
        <v>3541</v>
      </c>
      <c r="L36">
        <f>VLOOKUP(D36,运费!B:C,2,0)</f>
        <v>192.75</v>
      </c>
      <c r="M36" s="8">
        <f t="shared" si="0"/>
        <v>926167.6050000001</v>
      </c>
      <c r="N36" s="8" cm="1">
        <f t="array" ref="N36">(_xlfn.IFS(J36&gt;=4300,570/550*J36,J36&gt;=3800,0.0806*J36,J36&gt;=3300,0.0706*J36,J36&gt;=2500,0.0676*J36,TRUE,0.02*J36)+10)*H36</f>
        <v>1249279.2528920001</v>
      </c>
    </row>
    <row r="37" spans="1:14" x14ac:dyDescent="0.15">
      <c r="A37">
        <v>3</v>
      </c>
      <c r="B37" t="s">
        <v>98</v>
      </c>
      <c r="C37" t="s">
        <v>16</v>
      </c>
      <c r="D37" t="s">
        <v>17</v>
      </c>
      <c r="E37" t="s">
        <v>102</v>
      </c>
      <c r="F37" t="s">
        <v>12</v>
      </c>
      <c r="G37">
        <v>361</v>
      </c>
      <c r="H37">
        <v>6656.3</v>
      </c>
      <c r="J37">
        <v>4429</v>
      </c>
      <c r="L37">
        <f>VLOOKUP(D37,运费!B:C,2,0)</f>
        <v>21.8</v>
      </c>
      <c r="M37" s="8">
        <f t="shared" si="0"/>
        <v>145107.34</v>
      </c>
      <c r="N37" s="8" cm="1">
        <f t="array" ref="N37">(_xlfn.IFS(J37&gt;=4300,570/550*J37,J37&gt;=3800,0.0806*J37,J37&gt;=3300,0.0706*J37,J37&gt;=2500,0.0676*J37,TRUE,0.02*J37)+10)*H37</f>
        <v>30619343.07090909</v>
      </c>
    </row>
    <row r="38" spans="1:14" x14ac:dyDescent="0.15">
      <c r="A38">
        <v>4</v>
      </c>
      <c r="B38" t="s">
        <v>98</v>
      </c>
      <c r="C38" t="s">
        <v>23</v>
      </c>
      <c r="D38" t="s">
        <v>24</v>
      </c>
      <c r="E38" t="s">
        <v>103</v>
      </c>
      <c r="F38" t="s">
        <v>12</v>
      </c>
      <c r="G38">
        <v>77</v>
      </c>
      <c r="H38">
        <v>1465.92</v>
      </c>
      <c r="J38">
        <v>4310</v>
      </c>
      <c r="L38">
        <f>VLOOKUP(D38,运费!B:C,2,0)</f>
        <v>33.79</v>
      </c>
      <c r="M38" s="8">
        <f t="shared" si="0"/>
        <v>49533.436800000003</v>
      </c>
      <c r="N38" s="8" cm="1">
        <f t="array" ref="N38">(_xlfn.IFS(J38&gt;=4300,570/550*J38,J38&gt;=3800,0.0806*J38,J38&gt;=3300,0.0706*J38,J38&gt;=2500,0.0676*J38,TRUE,0.02*J38)+10)*H38</f>
        <v>6562524.0436363639</v>
      </c>
    </row>
    <row r="39" spans="1:14" x14ac:dyDescent="0.15">
      <c r="A39">
        <v>5</v>
      </c>
      <c r="B39" t="s">
        <v>98</v>
      </c>
      <c r="C39" t="s">
        <v>104</v>
      </c>
      <c r="D39" t="s">
        <v>27</v>
      </c>
      <c r="E39" t="s">
        <v>105</v>
      </c>
      <c r="F39" t="s">
        <v>12</v>
      </c>
      <c r="G39">
        <v>78</v>
      </c>
      <c r="H39">
        <v>2508.56</v>
      </c>
      <c r="J39">
        <v>3970</v>
      </c>
      <c r="L39">
        <f>VLOOKUP(D39,运费!B:C,2,0)</f>
        <v>104.5</v>
      </c>
      <c r="M39" s="8">
        <f t="shared" si="0"/>
        <v>262144.52</v>
      </c>
      <c r="N39" s="8" cm="1">
        <f t="array" ref="N39">(_xlfn.IFS(J39&gt;=4300,570/550*J39,J39&gt;=3800,0.0806*J39,J39&gt;=3300,0.0706*J39,J39&gt;=2500,0.0676*J39,TRUE,0.02*J39)+10)*H39</f>
        <v>827779.64592000004</v>
      </c>
    </row>
    <row r="40" spans="1:14" x14ac:dyDescent="0.15">
      <c r="A40">
        <v>6</v>
      </c>
      <c r="B40" t="s">
        <v>98</v>
      </c>
      <c r="C40" t="s">
        <v>106</v>
      </c>
      <c r="D40" t="s">
        <v>33</v>
      </c>
      <c r="E40" t="s">
        <v>107</v>
      </c>
      <c r="F40" t="s">
        <v>12</v>
      </c>
      <c r="G40">
        <v>258</v>
      </c>
      <c r="H40">
        <v>8212.76</v>
      </c>
      <c r="J40">
        <v>3811</v>
      </c>
      <c r="L40">
        <f>VLOOKUP(D40,运费!B:C,2,0)</f>
        <v>58</v>
      </c>
      <c r="M40" s="8">
        <f t="shared" si="0"/>
        <v>476340.08</v>
      </c>
      <c r="N40" s="8" cm="1">
        <f t="array" ref="N40">(_xlfn.IFS(J40&gt;=4300,570/550*J40,J40&gt;=3800,0.0806*J40,J40&gt;=3300,0.0706*J40,J40&gt;=2500,0.0676*J40,TRUE,0.02*J40)+10)*H40</f>
        <v>2604813.1658160002</v>
      </c>
    </row>
    <row r="41" spans="1:14" x14ac:dyDescent="0.15">
      <c r="A41">
        <v>7</v>
      </c>
      <c r="B41" t="s">
        <v>98</v>
      </c>
      <c r="C41" t="s">
        <v>35</v>
      </c>
      <c r="D41" t="s">
        <v>36</v>
      </c>
      <c r="E41" t="s">
        <v>108</v>
      </c>
      <c r="F41" t="s">
        <v>12</v>
      </c>
      <c r="G41">
        <v>511</v>
      </c>
      <c r="H41">
        <v>9008.76</v>
      </c>
      <c r="J41">
        <v>4024</v>
      </c>
      <c r="L41">
        <f>VLOOKUP(D41,运费!B:C,2,0)</f>
        <v>10.355</v>
      </c>
      <c r="M41" s="8">
        <f t="shared" si="0"/>
        <v>93285.709800000011</v>
      </c>
      <c r="N41" s="8" cm="1">
        <f t="array" ref="N41">(_xlfn.IFS(J41&gt;=4300,570/550*J41,J41&gt;=3800,0.0806*J41,J41&gt;=3300,0.0706*J41,J41&gt;=2500,0.0676*J41,TRUE,0.02*J41)+10)*H41</f>
        <v>3011938.3693440002</v>
      </c>
    </row>
    <row r="42" spans="1:14" x14ac:dyDescent="0.15">
      <c r="A42">
        <v>8</v>
      </c>
      <c r="B42" t="s">
        <v>98</v>
      </c>
      <c r="C42" t="s">
        <v>109</v>
      </c>
      <c r="D42" t="s">
        <v>43</v>
      </c>
      <c r="E42" t="s">
        <v>110</v>
      </c>
      <c r="F42" t="s">
        <v>45</v>
      </c>
      <c r="G42">
        <v>237</v>
      </c>
      <c r="H42">
        <v>7537.78</v>
      </c>
      <c r="J42">
        <v>4102</v>
      </c>
      <c r="L42">
        <f>VLOOKUP(D42,运费!B:C,2,0)</f>
        <v>117</v>
      </c>
      <c r="M42" s="8">
        <f t="shared" si="0"/>
        <v>881920.26</v>
      </c>
      <c r="N42" s="8" cm="1">
        <f t="array" ref="N42">(_xlfn.IFS(J42&gt;=4300,570/550*J42,J42&gt;=3800,0.0806*J42,J42&gt;=3300,0.0706*J42,J42&gt;=2500,0.0676*J42,TRUE,0.02*J42)+10)*H42</f>
        <v>2567527.6689360002</v>
      </c>
    </row>
    <row r="43" spans="1:14" x14ac:dyDescent="0.15">
      <c r="A43">
        <v>9</v>
      </c>
      <c r="B43" t="s">
        <v>98</v>
      </c>
      <c r="C43" t="s">
        <v>111</v>
      </c>
      <c r="D43" t="s">
        <v>47</v>
      </c>
      <c r="E43" t="s">
        <v>112</v>
      </c>
      <c r="F43" t="s">
        <v>45</v>
      </c>
      <c r="G43">
        <v>14</v>
      </c>
      <c r="H43">
        <v>441.28</v>
      </c>
      <c r="J43" t="e">
        <v>#N/A</v>
      </c>
      <c r="L43">
        <f>VLOOKUP(D43,运费!B:C,2,0)</f>
        <v>81</v>
      </c>
      <c r="M43" s="8">
        <f t="shared" si="0"/>
        <v>35743.68</v>
      </c>
      <c r="N43" s="8" t="e" cm="1">
        <f t="array" ref="N43">(_xlfn.IFS(J43&gt;=4300,570/550*J43,J43&gt;=3800,0.0806*J43,J43&gt;=3300,0.0706*J43,J43&gt;=2500,0.0676*J43,TRUE,0.02*J43)+10)*H43</f>
        <v>#N/A</v>
      </c>
    </row>
    <row r="44" spans="1:14" x14ac:dyDescent="0.15">
      <c r="A44">
        <v>10</v>
      </c>
      <c r="B44" t="s">
        <v>98</v>
      </c>
      <c r="C44" t="s">
        <v>113</v>
      </c>
      <c r="D44" t="s">
        <v>50</v>
      </c>
      <c r="E44" t="s">
        <v>114</v>
      </c>
      <c r="F44" t="s">
        <v>45</v>
      </c>
      <c r="G44">
        <v>6</v>
      </c>
      <c r="H44">
        <v>193.4</v>
      </c>
      <c r="J44">
        <v>4146</v>
      </c>
      <c r="L44">
        <f>VLOOKUP(D44,运费!B:C,2,0)</f>
        <v>79</v>
      </c>
      <c r="M44" s="8">
        <f t="shared" si="0"/>
        <v>15278.6</v>
      </c>
      <c r="N44" s="8" cm="1">
        <f t="array" ref="N44">(_xlfn.IFS(J44&gt;=4300,570/550*J44,J44&gt;=3800,0.0806*J44,J44&gt;=3300,0.0706*J44,J44&gt;=2500,0.0676*J44,TRUE,0.02*J44)+10)*H44</f>
        <v>66562.01384</v>
      </c>
    </row>
    <row r="45" spans="1:14" x14ac:dyDescent="0.15">
      <c r="A45">
        <v>11</v>
      </c>
      <c r="B45" t="s">
        <v>98</v>
      </c>
      <c r="C45" t="s">
        <v>58</v>
      </c>
      <c r="D45" t="s">
        <v>59</v>
      </c>
      <c r="E45" t="s">
        <v>115</v>
      </c>
      <c r="F45" t="s">
        <v>12</v>
      </c>
      <c r="G45">
        <v>376</v>
      </c>
      <c r="H45">
        <v>6697.86</v>
      </c>
      <c r="J45">
        <v>4105</v>
      </c>
      <c r="L45">
        <f>VLOOKUP(D45,运费!B:C,2,0)</f>
        <v>10.355</v>
      </c>
      <c r="M45" s="8">
        <f t="shared" si="0"/>
        <v>69356.340299999996</v>
      </c>
      <c r="N45" s="8" cm="1">
        <f t="array" ref="N45">(_xlfn.IFS(J45&gt;=4300,570/550*J45,J45&gt;=3800,0.0806*J45,J45&gt;=3300,0.0706*J45,J45&gt;=2500,0.0676*J45,TRUE,0.02*J45)+10)*H45</f>
        <v>2283052.6531799999</v>
      </c>
    </row>
    <row r="46" spans="1:14" x14ac:dyDescent="0.15">
      <c r="A46">
        <v>12</v>
      </c>
      <c r="B46" t="s">
        <v>98</v>
      </c>
      <c r="C46" t="s">
        <v>116</v>
      </c>
      <c r="D46" t="s">
        <v>66</v>
      </c>
      <c r="E46" t="s">
        <v>117</v>
      </c>
      <c r="F46" t="s">
        <v>12</v>
      </c>
      <c r="G46">
        <v>77</v>
      </c>
      <c r="H46">
        <v>2505.84</v>
      </c>
      <c r="J46">
        <v>3959</v>
      </c>
      <c r="L46">
        <f>VLOOKUP(D46,运费!B:C,2,0)</f>
        <v>101.5</v>
      </c>
      <c r="M46" s="8">
        <f t="shared" si="0"/>
        <v>254342.76</v>
      </c>
      <c r="N46" s="8" cm="1">
        <f t="array" ref="N46">(_xlfn.IFS(J46&gt;=4300,570/550*J46,J46&gt;=3800,0.0806*J46,J46&gt;=3300,0.0706*J46,J46&gt;=2500,0.0676*J46,TRUE,0.02*J46)+10)*H46</f>
        <v>824660.41713600012</v>
      </c>
    </row>
    <row r="47" spans="1:14" x14ac:dyDescent="0.15">
      <c r="A47">
        <v>13</v>
      </c>
      <c r="B47" t="s">
        <v>98</v>
      </c>
      <c r="C47" t="s">
        <v>118</v>
      </c>
      <c r="D47" t="s">
        <v>119</v>
      </c>
      <c r="E47" t="s">
        <v>120</v>
      </c>
      <c r="F47" t="s">
        <v>12</v>
      </c>
      <c r="G47">
        <v>13</v>
      </c>
      <c r="H47">
        <v>421.96</v>
      </c>
      <c r="J47" t="e">
        <v>#N/A</v>
      </c>
      <c r="L47">
        <f>VLOOKUP(D47,运费!B:C,2,0)</f>
        <v>105</v>
      </c>
      <c r="M47" s="8">
        <f t="shared" si="0"/>
        <v>44305.799999999996</v>
      </c>
      <c r="N47" s="8" t="e" cm="1">
        <f t="array" ref="N47">(_xlfn.IFS(J47&gt;=4300,570/550*J47,J47&gt;=3800,0.0806*J47,J47&gt;=3300,0.0706*J47,J47&gt;=2500,0.0676*J47,TRUE,0.02*J47)+10)*H47</f>
        <v>#N/A</v>
      </c>
    </row>
    <row r="48" spans="1:14" x14ac:dyDescent="0.15">
      <c r="A48">
        <v>14</v>
      </c>
      <c r="B48" t="s">
        <v>98</v>
      </c>
      <c r="C48" t="s">
        <v>121</v>
      </c>
      <c r="D48" t="s">
        <v>69</v>
      </c>
      <c r="E48" t="s">
        <v>122</v>
      </c>
      <c r="F48" t="s">
        <v>12</v>
      </c>
      <c r="G48">
        <v>91</v>
      </c>
      <c r="H48">
        <v>2963.04</v>
      </c>
      <c r="J48">
        <v>4139</v>
      </c>
      <c r="L48">
        <f>VLOOKUP(D48,运费!B:C,2,0)</f>
        <v>104.5</v>
      </c>
      <c r="M48" s="8">
        <f t="shared" si="0"/>
        <v>309637.68</v>
      </c>
      <c r="N48" s="8" cm="1">
        <f t="array" ref="N48">(_xlfn.IFS(J48&gt;=4300,570/550*J48,J48&gt;=3800,0.0806*J48,J48&gt;=3300,0.0706*J48,J48&gt;=2500,0.0676*J48,TRUE,0.02*J48)+10)*H48</f>
        <v>1018110.618336</v>
      </c>
    </row>
    <row r="49" spans="1:14" x14ac:dyDescent="0.15">
      <c r="A49">
        <v>15</v>
      </c>
      <c r="B49" t="s">
        <v>98</v>
      </c>
      <c r="C49" t="s">
        <v>74</v>
      </c>
      <c r="D49" t="s">
        <v>75</v>
      </c>
      <c r="E49" t="s">
        <v>123</v>
      </c>
      <c r="F49" t="s">
        <v>12</v>
      </c>
      <c r="G49">
        <v>292</v>
      </c>
      <c r="H49">
        <v>5396.88</v>
      </c>
      <c r="J49">
        <v>4283</v>
      </c>
      <c r="L49">
        <f>VLOOKUP(D49,运费!B:C,2,0)</f>
        <v>21.8</v>
      </c>
      <c r="M49" s="8">
        <f t="shared" si="0"/>
        <v>117651.98400000001</v>
      </c>
      <c r="N49" s="8" cm="1">
        <f t="array" ref="N49">(_xlfn.IFS(J49&gt;=4300,570/550*J49,J49&gt;=3800,0.0806*J49,J49&gt;=3300,0.0706*J49,J49&gt;=2500,0.0676*J49,TRUE,0.02*J49)+10)*H49</f>
        <v>1917024.6654240002</v>
      </c>
    </row>
    <row r="50" spans="1:14" x14ac:dyDescent="0.15">
      <c r="A50">
        <v>16</v>
      </c>
      <c r="B50" t="s">
        <v>98</v>
      </c>
      <c r="C50" t="s">
        <v>81</v>
      </c>
      <c r="D50" t="s">
        <v>82</v>
      </c>
      <c r="E50" t="s">
        <v>124</v>
      </c>
      <c r="F50" t="s">
        <v>12</v>
      </c>
      <c r="G50">
        <v>900</v>
      </c>
      <c r="H50">
        <v>16706.099999999999</v>
      </c>
      <c r="J50">
        <v>4153</v>
      </c>
      <c r="L50">
        <f>VLOOKUP(D50,运费!B:C,2,0)</f>
        <v>21.8</v>
      </c>
      <c r="M50" s="8">
        <f t="shared" si="0"/>
        <v>364192.98</v>
      </c>
      <c r="N50" s="8" cm="1">
        <f t="array" ref="N50">(_xlfn.IFS(J50&gt;=4300,570/550*J50,J50&gt;=3800,0.0806*J50,J50&gt;=3300,0.0706*J50,J50&gt;=2500,0.0676*J50,TRUE,0.02*J50)+10)*H50</f>
        <v>5759123.9239799995</v>
      </c>
    </row>
    <row r="51" spans="1:14" x14ac:dyDescent="0.15">
      <c r="A51">
        <v>17</v>
      </c>
      <c r="B51" t="s">
        <v>98</v>
      </c>
      <c r="C51" t="s">
        <v>125</v>
      </c>
      <c r="D51" t="s">
        <v>86</v>
      </c>
      <c r="E51" t="s">
        <v>126</v>
      </c>
      <c r="F51" t="s">
        <v>12</v>
      </c>
      <c r="G51">
        <v>124</v>
      </c>
      <c r="H51">
        <v>3591.06</v>
      </c>
      <c r="J51">
        <v>3064</v>
      </c>
      <c r="L51">
        <f>VLOOKUP(D51,运费!B:C,2,0)</f>
        <v>116.8</v>
      </c>
      <c r="M51" s="8">
        <f t="shared" si="0"/>
        <v>419435.80799999996</v>
      </c>
      <c r="N51" s="8" cm="1">
        <f t="array" ref="N51">(_xlfn.IFS(J51&gt;=4300,570/550*J51,J51&gt;=3800,0.0806*J51,J51&gt;=3300,0.0706*J51,J51&gt;=2500,0.0676*J51,TRUE,0.02*J51)+10)*H51</f>
        <v>779713.92998399993</v>
      </c>
    </row>
    <row r="52" spans="1:14" x14ac:dyDescent="0.15">
      <c r="A52">
        <v>18</v>
      </c>
      <c r="B52" t="s">
        <v>98</v>
      </c>
      <c r="C52" t="s">
        <v>127</v>
      </c>
      <c r="D52" t="s">
        <v>86</v>
      </c>
      <c r="E52" t="s">
        <v>126</v>
      </c>
      <c r="F52" t="s">
        <v>12</v>
      </c>
      <c r="G52">
        <v>169</v>
      </c>
      <c r="H52">
        <v>3520.84</v>
      </c>
      <c r="J52">
        <v>3064</v>
      </c>
      <c r="L52">
        <f>VLOOKUP(D52,运费!B:C,2,0)</f>
        <v>116.8</v>
      </c>
      <c r="M52" s="8">
        <f t="shared" si="0"/>
        <v>411234.11200000002</v>
      </c>
      <c r="N52" s="8" cm="1">
        <f t="array" ref="N52">(_xlfn.IFS(J52&gt;=4300,570/550*J52,J52&gt;=3800,0.0806*J52,J52&gt;=3300,0.0706*J52,J52&gt;=2500,0.0676*J52,TRUE,0.02*J52)+10)*H52</f>
        <v>764467.31417599996</v>
      </c>
    </row>
    <row r="53" spans="1:14" x14ac:dyDescent="0.15">
      <c r="A53">
        <v>19</v>
      </c>
      <c r="B53" t="s">
        <v>98</v>
      </c>
      <c r="C53" t="s">
        <v>88</v>
      </c>
      <c r="D53" t="s">
        <v>89</v>
      </c>
      <c r="E53" t="s">
        <v>128</v>
      </c>
      <c r="F53" t="s">
        <v>12</v>
      </c>
      <c r="G53">
        <v>380</v>
      </c>
      <c r="H53">
        <v>6978.76</v>
      </c>
      <c r="J53">
        <v>4863</v>
      </c>
      <c r="L53">
        <f>VLOOKUP(D53,运费!B:C,2,0)</f>
        <v>108.51</v>
      </c>
      <c r="M53" s="8">
        <f t="shared" si="0"/>
        <v>757265.2476</v>
      </c>
      <c r="N53" s="8" cm="1">
        <f t="array" ref="N53">(_xlfn.IFS(J53&gt;=4300,570/550*J53,J53&gt;=3800,0.0806*J53,J53&gt;=3300,0.0706*J53,J53&gt;=2500,0.0676*J53,TRUE,0.02*J53)+10)*H53</f>
        <v>35241596.02109091</v>
      </c>
    </row>
    <row r="54" spans="1:14" x14ac:dyDescent="0.15">
      <c r="A54">
        <v>20</v>
      </c>
      <c r="B54" t="s">
        <v>98</v>
      </c>
      <c r="C54" t="s">
        <v>129</v>
      </c>
      <c r="D54" t="s">
        <v>89</v>
      </c>
      <c r="E54" t="s">
        <v>128</v>
      </c>
      <c r="F54" t="s">
        <v>12</v>
      </c>
      <c r="G54">
        <v>745</v>
      </c>
      <c r="H54">
        <v>13746.38</v>
      </c>
      <c r="J54">
        <v>4863</v>
      </c>
      <c r="L54">
        <f>VLOOKUP(D54,运费!B:C,2,0)</f>
        <v>108.51</v>
      </c>
      <c r="M54" s="8">
        <f t="shared" si="0"/>
        <v>1491619.6938</v>
      </c>
      <c r="N54" s="8" cm="1">
        <f t="array" ref="N54">(_xlfn.IFS(J54&gt;=4300,570/550*J54,J54&gt;=3800,0.0806*J54,J54&gt;=3300,0.0706*J54,J54&gt;=2500,0.0676*J54,TRUE,0.02*J54)+10)*H54</f>
        <v>69416969.592363641</v>
      </c>
    </row>
    <row r="55" spans="1:14" x14ac:dyDescent="0.15">
      <c r="A55">
        <v>21</v>
      </c>
      <c r="B55" t="s">
        <v>98</v>
      </c>
      <c r="C55" t="s">
        <v>91</v>
      </c>
      <c r="D55" t="s">
        <v>92</v>
      </c>
      <c r="E55" t="s">
        <v>130</v>
      </c>
      <c r="F55" t="s">
        <v>12</v>
      </c>
      <c r="G55">
        <v>32</v>
      </c>
      <c r="H55">
        <v>723.02</v>
      </c>
      <c r="J55">
        <v>4374</v>
      </c>
      <c r="L55">
        <f>VLOOKUP(D55,运费!B:C,2,0)</f>
        <v>33.79</v>
      </c>
      <c r="M55" s="8">
        <f t="shared" si="0"/>
        <v>24430.845799999999</v>
      </c>
      <c r="N55" s="8" cm="1">
        <f t="array" ref="N55">(_xlfn.IFS(J55&gt;=4300,570/550*J55,J55&gt;=3800,0.0806*J55,J55&gt;=3300,0.0706*J55,J55&gt;=2500,0.0676*J55,TRUE,0.02*J55)+10)*H55</f>
        <v>3284719.2974545453</v>
      </c>
    </row>
    <row r="56" spans="1:14" x14ac:dyDescent="0.15">
      <c r="A56">
        <v>22</v>
      </c>
      <c r="B56" t="s">
        <v>98</v>
      </c>
      <c r="C56" t="s">
        <v>131</v>
      </c>
      <c r="D56" t="s">
        <v>96</v>
      </c>
      <c r="E56" t="s">
        <v>132</v>
      </c>
      <c r="F56" t="s">
        <v>12</v>
      </c>
      <c r="G56">
        <v>92</v>
      </c>
      <c r="H56">
        <v>2937.34</v>
      </c>
      <c r="J56">
        <v>4579</v>
      </c>
      <c r="L56">
        <f>VLOOKUP(D56,运费!B:C,2,0)</f>
        <v>60.5</v>
      </c>
      <c r="M56" s="8">
        <f t="shared" si="0"/>
        <v>177709.07</v>
      </c>
      <c r="N56" s="8" cm="1">
        <f t="array" ref="N56">(_xlfn.IFS(J56&gt;=4300,570/550*J56,J56&gt;=3800,0.0806*J56,J56&gt;=3300,0.0706*J56,J56&gt;=2500,0.0676*J56,TRUE,0.02*J56)+10)*H56</f>
        <v>13968547.073090911</v>
      </c>
    </row>
    <row r="57" spans="1:14" x14ac:dyDescent="0.15">
      <c r="A57">
        <v>1</v>
      </c>
      <c r="B57" t="s">
        <v>133</v>
      </c>
      <c r="C57" t="s">
        <v>99</v>
      </c>
      <c r="D57" t="s">
        <v>10</v>
      </c>
      <c r="E57" t="s">
        <v>134</v>
      </c>
      <c r="F57" t="s">
        <v>12</v>
      </c>
      <c r="G57">
        <v>1086</v>
      </c>
      <c r="H57">
        <v>20164.900000000001</v>
      </c>
      <c r="J57">
        <v>3409</v>
      </c>
      <c r="L57">
        <f>VLOOKUP(D57,运费!B:C,2,0)</f>
        <v>147.1</v>
      </c>
      <c r="M57" s="8">
        <f t="shared" si="0"/>
        <v>2966256.79</v>
      </c>
      <c r="N57" s="8" cm="1">
        <f t="array" ref="N57">(_xlfn.IFS(J57&gt;=4300,570/550*J57,J57&gt;=3800,0.0806*J57,J57&gt;=3300,0.0706*J57,J57&gt;=2500,0.0676*J57,TRUE,0.02*J57)+10)*H57</f>
        <v>5054844.3734600004</v>
      </c>
    </row>
    <row r="58" spans="1:14" x14ac:dyDescent="0.15">
      <c r="A58">
        <v>2</v>
      </c>
      <c r="B58" t="s">
        <v>133</v>
      </c>
      <c r="C58" t="s">
        <v>135</v>
      </c>
      <c r="D58" t="s">
        <v>10</v>
      </c>
      <c r="E58" t="s">
        <v>134</v>
      </c>
      <c r="F58" t="s">
        <v>12</v>
      </c>
      <c r="G58">
        <v>1393</v>
      </c>
      <c r="H58">
        <v>26168.38</v>
      </c>
      <c r="J58">
        <v>3409</v>
      </c>
      <c r="L58">
        <f>VLOOKUP(D58,运费!B:C,2,0)</f>
        <v>147.1</v>
      </c>
      <c r="M58" s="8">
        <f t="shared" si="0"/>
        <v>3849368.6979999999</v>
      </c>
      <c r="N58" s="8" cm="1">
        <f t="array" ref="N58">(_xlfn.IFS(J58&gt;=4300,570/550*J58,J58&gt;=3800,0.0806*J58,J58&gt;=3300,0.0706*J58,J58&gt;=2500,0.0676*J58,TRUE,0.02*J58)+10)*H58</f>
        <v>6559769.1238520006</v>
      </c>
    </row>
    <row r="59" spans="1:14" x14ac:dyDescent="0.15">
      <c r="A59">
        <v>3</v>
      </c>
      <c r="B59" t="s">
        <v>133</v>
      </c>
      <c r="C59" t="s">
        <v>104</v>
      </c>
      <c r="D59" t="s">
        <v>27</v>
      </c>
      <c r="E59" t="s">
        <v>136</v>
      </c>
      <c r="F59" t="s">
        <v>12</v>
      </c>
      <c r="G59">
        <v>16</v>
      </c>
      <c r="H59">
        <v>517.74</v>
      </c>
      <c r="J59">
        <v>3944</v>
      </c>
      <c r="L59">
        <f>VLOOKUP(D59,运费!B:C,2,0)</f>
        <v>104.5</v>
      </c>
      <c r="M59" s="8">
        <f t="shared" si="0"/>
        <v>54103.83</v>
      </c>
      <c r="N59" s="8" cm="1">
        <f t="array" ref="N59">(_xlfn.IFS(J59&gt;=4300,570/550*J59,J59&gt;=3800,0.0806*J59,J59&gt;=3300,0.0706*J59,J59&gt;=2500,0.0676*J59,TRUE,0.02*J59)+10)*H59</f>
        <v>169759.90473600003</v>
      </c>
    </row>
    <row r="60" spans="1:14" x14ac:dyDescent="0.15">
      <c r="A60">
        <v>4</v>
      </c>
      <c r="B60" t="s">
        <v>133</v>
      </c>
      <c r="C60" t="s">
        <v>137</v>
      </c>
      <c r="D60" t="s">
        <v>27</v>
      </c>
      <c r="E60" t="s">
        <v>136</v>
      </c>
      <c r="F60" t="s">
        <v>12</v>
      </c>
      <c r="G60">
        <v>247</v>
      </c>
      <c r="H60">
        <v>7947.3</v>
      </c>
      <c r="J60">
        <v>3944</v>
      </c>
      <c r="L60">
        <f>VLOOKUP(D60,运费!B:C,2,0)</f>
        <v>104.5</v>
      </c>
      <c r="M60" s="8">
        <f t="shared" si="0"/>
        <v>830492.85</v>
      </c>
      <c r="N60" s="8" cm="1">
        <f t="array" ref="N60">(_xlfn.IFS(J60&gt;=4300,570/550*J60,J60&gt;=3800,0.0806*J60,J60&gt;=3300,0.0706*J60,J60&gt;=2500,0.0676*J60,TRUE,0.02*J60)+10)*H60</f>
        <v>2605811.5867200005</v>
      </c>
    </row>
    <row r="61" spans="1:14" x14ac:dyDescent="0.15">
      <c r="A61">
        <v>5</v>
      </c>
      <c r="B61" t="s">
        <v>133</v>
      </c>
      <c r="C61" t="s">
        <v>138</v>
      </c>
      <c r="D61" t="s">
        <v>30</v>
      </c>
      <c r="E61" t="s">
        <v>139</v>
      </c>
      <c r="F61" t="s">
        <v>12</v>
      </c>
      <c r="G61">
        <v>77</v>
      </c>
      <c r="H61">
        <v>2414.38</v>
      </c>
      <c r="J61">
        <v>3812</v>
      </c>
      <c r="L61">
        <f>VLOOKUP(D61,运费!B:C,2,0)</f>
        <v>78</v>
      </c>
      <c r="M61" s="8">
        <f t="shared" si="0"/>
        <v>188321.64</v>
      </c>
      <c r="N61" s="8" cm="1">
        <f t="array" ref="N61">(_xlfn.IFS(J61&gt;=4300,570/550*J61,J61&gt;=3800,0.0806*J61,J61&gt;=3300,0.0706*J61,J61&gt;=2500,0.0676*J61,TRUE,0.02*J61)+10)*H61</f>
        <v>765955.29473600013</v>
      </c>
    </row>
    <row r="62" spans="1:14" x14ac:dyDescent="0.15">
      <c r="A62">
        <v>6</v>
      </c>
      <c r="B62" t="s">
        <v>133</v>
      </c>
      <c r="C62" t="s">
        <v>140</v>
      </c>
      <c r="D62" t="s">
        <v>33</v>
      </c>
      <c r="E62" t="s">
        <v>141</v>
      </c>
      <c r="F62" t="s">
        <v>12</v>
      </c>
      <c r="G62">
        <v>130</v>
      </c>
      <c r="H62">
        <v>4149.18</v>
      </c>
      <c r="J62">
        <v>4585</v>
      </c>
      <c r="L62">
        <f>VLOOKUP(D62,运费!B:C,2,0)</f>
        <v>58</v>
      </c>
      <c r="M62" s="8">
        <f t="shared" si="0"/>
        <v>240652.44</v>
      </c>
      <c r="N62" s="8" cm="1">
        <f t="array" ref="N62">(_xlfn.IFS(J62&gt;=4300,570/550*J62,J62&gt;=3800,0.0806*J62,J62&gt;=3300,0.0706*J62,J62&gt;=2500,0.0676*J62,TRUE,0.02*J62)+10)*H62</f>
        <v>19757263.565454546</v>
      </c>
    </row>
    <row r="63" spans="1:14" x14ac:dyDescent="0.15">
      <c r="A63">
        <v>7</v>
      </c>
      <c r="B63" t="s">
        <v>133</v>
      </c>
      <c r="C63" t="s">
        <v>109</v>
      </c>
      <c r="D63" t="s">
        <v>43</v>
      </c>
      <c r="E63" t="s">
        <v>142</v>
      </c>
      <c r="F63" t="s">
        <v>45</v>
      </c>
      <c r="G63">
        <v>74</v>
      </c>
      <c r="H63">
        <v>2356</v>
      </c>
      <c r="J63">
        <v>4609</v>
      </c>
      <c r="L63">
        <f>VLOOKUP(D63,运费!B:C,2,0)</f>
        <v>117</v>
      </c>
      <c r="M63" s="8">
        <f t="shared" si="0"/>
        <v>275652</v>
      </c>
      <c r="N63" s="8" cm="1">
        <f t="array" ref="N63">(_xlfn.IFS(J63&gt;=4300,570/550*J63,J63&gt;=3800,0.0806*J63,J63&gt;=3300,0.0706*J63,J63&gt;=2500,0.0676*J63,TRUE,0.02*J63)+10)*H63</f>
        <v>11277229.600000001</v>
      </c>
    </row>
    <row r="64" spans="1:14" x14ac:dyDescent="0.15">
      <c r="A64">
        <v>8</v>
      </c>
      <c r="B64" t="s">
        <v>133</v>
      </c>
      <c r="C64" t="s">
        <v>143</v>
      </c>
      <c r="D64" t="s">
        <v>43</v>
      </c>
      <c r="E64" t="s">
        <v>142</v>
      </c>
      <c r="F64" t="s">
        <v>45</v>
      </c>
      <c r="G64">
        <v>450</v>
      </c>
      <c r="H64">
        <v>14344.18</v>
      </c>
      <c r="J64">
        <v>4609</v>
      </c>
      <c r="L64">
        <f>VLOOKUP(D64,运费!B:C,2,0)</f>
        <v>117</v>
      </c>
      <c r="M64" s="8">
        <f t="shared" si="0"/>
        <v>1678269.06</v>
      </c>
      <c r="N64" s="8" cm="1">
        <f t="array" ref="N64">(_xlfn.IFS(J64&gt;=4300,570/550*J64,J64&gt;=3800,0.0806*J64,J64&gt;=3300,0.0706*J64,J64&gt;=2500,0.0676*J64,TRUE,0.02*J64)+10)*H64</f>
        <v>68659851.988000005</v>
      </c>
    </row>
    <row r="65" spans="1:14" x14ac:dyDescent="0.15">
      <c r="A65">
        <v>9</v>
      </c>
      <c r="B65" t="s">
        <v>133</v>
      </c>
      <c r="C65" t="s">
        <v>144</v>
      </c>
      <c r="D65" t="s">
        <v>47</v>
      </c>
      <c r="E65" t="s">
        <v>145</v>
      </c>
      <c r="F65" t="s">
        <v>45</v>
      </c>
      <c r="G65">
        <v>31</v>
      </c>
      <c r="H65">
        <v>992.44</v>
      </c>
      <c r="J65">
        <v>3791</v>
      </c>
      <c r="L65">
        <f>VLOOKUP(D65,运费!B:C,2,0)</f>
        <v>81</v>
      </c>
      <c r="M65" s="8">
        <f t="shared" si="0"/>
        <v>80387.64</v>
      </c>
      <c r="N65" s="8" cm="1">
        <f t="array" ref="N65">(_xlfn.IFS(J65&gt;=4300,570/550*J65,J65&gt;=3800,0.0806*J65,J65&gt;=3300,0.0706*J65,J65&gt;=2500,0.0676*J65,TRUE,0.02*J65)+10)*H65</f>
        <v>275545.60682399996</v>
      </c>
    </row>
    <row r="66" spans="1:14" x14ac:dyDescent="0.15">
      <c r="A66">
        <v>10</v>
      </c>
      <c r="B66" t="s">
        <v>133</v>
      </c>
      <c r="C66" t="s">
        <v>146</v>
      </c>
      <c r="D66" t="s">
        <v>147</v>
      </c>
      <c r="E66" t="s">
        <v>148</v>
      </c>
      <c r="F66" t="s">
        <v>45</v>
      </c>
      <c r="G66">
        <v>111</v>
      </c>
      <c r="H66">
        <v>3411.62</v>
      </c>
      <c r="J66">
        <v>3091</v>
      </c>
      <c r="L66">
        <f>VLOOKUP(D66,运费!B:C,2,0)</f>
        <v>70</v>
      </c>
      <c r="M66" s="8">
        <f t="shared" si="0"/>
        <v>238813.4</v>
      </c>
      <c r="N66" s="8" cm="1">
        <f t="array" ref="N66">(_xlfn.IFS(J66&gt;=4300,570/550*J66,J66&gt;=3800,0.0806*J66,J66&gt;=3300,0.0706*J66,J66&gt;=2500,0.0676*J66,TRUE,0.02*J66)+10)*H66</f>
        <v>746979.65759199997</v>
      </c>
    </row>
    <row r="67" spans="1:14" x14ac:dyDescent="0.15">
      <c r="A67">
        <v>11</v>
      </c>
      <c r="B67" t="s">
        <v>133</v>
      </c>
      <c r="C67" t="s">
        <v>149</v>
      </c>
      <c r="D67" t="s">
        <v>50</v>
      </c>
      <c r="E67" t="s">
        <v>150</v>
      </c>
      <c r="F67" t="s">
        <v>45</v>
      </c>
      <c r="G67">
        <v>94</v>
      </c>
      <c r="H67">
        <v>2976.02</v>
      </c>
      <c r="J67">
        <v>3679</v>
      </c>
      <c r="L67">
        <f>VLOOKUP(D67,运费!B:C,2,0)</f>
        <v>79</v>
      </c>
      <c r="M67" s="8">
        <f t="shared" ref="M67:M130" si="1">H67*L67</f>
        <v>235105.58</v>
      </c>
      <c r="N67" s="8" cm="1">
        <f t="array" ref="N67">(_xlfn.IFS(J67&gt;=4300,570/550*J67,J67&gt;=3800,0.0806*J67,J67&gt;=3300,0.0706*J67,J67&gt;=2500,0.0676*J67,TRUE,0.02*J67)+10)*H67</f>
        <v>802743.89714799996</v>
      </c>
    </row>
    <row r="68" spans="1:14" x14ac:dyDescent="0.15">
      <c r="A68">
        <v>12</v>
      </c>
      <c r="B68" t="s">
        <v>133</v>
      </c>
      <c r="C68" t="s">
        <v>151</v>
      </c>
      <c r="D68" t="s">
        <v>56</v>
      </c>
      <c r="E68" t="s">
        <v>152</v>
      </c>
      <c r="F68" t="s">
        <v>12</v>
      </c>
      <c r="G68">
        <v>527</v>
      </c>
      <c r="H68">
        <v>16550.900000000001</v>
      </c>
      <c r="J68">
        <v>3366</v>
      </c>
      <c r="L68">
        <f>VLOOKUP(D68,运费!B:C,2,0)</f>
        <v>67</v>
      </c>
      <c r="M68" s="8">
        <f t="shared" si="1"/>
        <v>1108910.3</v>
      </c>
      <c r="N68" s="8" cm="1">
        <f t="array" ref="N68">(_xlfn.IFS(J68&gt;=4300,570/550*J68,J68&gt;=3800,0.0806*J68,J68&gt;=3300,0.0706*J68,J68&gt;=2500,0.0676*J68,TRUE,0.02*J68)+10)*H68</f>
        <v>4098658.2556400001</v>
      </c>
    </row>
    <row r="69" spans="1:14" x14ac:dyDescent="0.15">
      <c r="A69">
        <v>13</v>
      </c>
      <c r="B69" t="s">
        <v>133</v>
      </c>
      <c r="C69" t="s">
        <v>153</v>
      </c>
      <c r="D69" t="s">
        <v>66</v>
      </c>
      <c r="E69" t="s">
        <v>154</v>
      </c>
      <c r="F69" t="s">
        <v>12</v>
      </c>
      <c r="G69">
        <v>152</v>
      </c>
      <c r="H69">
        <v>4931.08</v>
      </c>
      <c r="J69">
        <v>4619</v>
      </c>
      <c r="L69">
        <f>VLOOKUP(D69,运费!B:C,2,0)</f>
        <v>101.5</v>
      </c>
      <c r="M69" s="8">
        <f t="shared" si="1"/>
        <v>500504.62</v>
      </c>
      <c r="N69" s="8" cm="1">
        <f t="array" ref="N69">(_xlfn.IFS(J69&gt;=4300,570/550*J69,J69&gt;=3800,0.0806*J69,J69&gt;=3300,0.0706*J69,J69&gt;=2500,0.0676*J69,TRUE,0.02*J69)+10)*H69</f>
        <v>23654211.447999999</v>
      </c>
    </row>
    <row r="70" spans="1:14" x14ac:dyDescent="0.15">
      <c r="A70">
        <v>14</v>
      </c>
      <c r="B70" t="s">
        <v>133</v>
      </c>
      <c r="C70" t="s">
        <v>118</v>
      </c>
      <c r="D70" t="s">
        <v>119</v>
      </c>
      <c r="E70" t="s">
        <v>155</v>
      </c>
      <c r="F70" t="s">
        <v>12</v>
      </c>
      <c r="G70">
        <v>1</v>
      </c>
      <c r="H70">
        <v>33.64</v>
      </c>
      <c r="J70">
        <v>4710</v>
      </c>
      <c r="L70">
        <f>VLOOKUP(D70,运费!B:C,2,0)</f>
        <v>105</v>
      </c>
      <c r="M70" s="8">
        <f t="shared" si="1"/>
        <v>3532.2000000000003</v>
      </c>
      <c r="N70" s="8" cm="1">
        <f t="array" ref="N70">(_xlfn.IFS(J70&gt;=4300,570/550*J70,J70&gt;=3800,0.0806*J70,J70&gt;=3300,0.0706*J70,J70&gt;=2500,0.0676*J70,TRUE,0.02*J70)+10)*H70</f>
        <v>164542.41454545455</v>
      </c>
    </row>
    <row r="71" spans="1:14" x14ac:dyDescent="0.15">
      <c r="A71">
        <v>15</v>
      </c>
      <c r="B71" t="s">
        <v>133</v>
      </c>
      <c r="C71" t="s">
        <v>156</v>
      </c>
      <c r="D71" t="s">
        <v>119</v>
      </c>
      <c r="E71" t="s">
        <v>155</v>
      </c>
      <c r="F71" t="s">
        <v>12</v>
      </c>
      <c r="G71">
        <v>169</v>
      </c>
      <c r="H71">
        <v>5532.1</v>
      </c>
      <c r="J71">
        <v>4710</v>
      </c>
      <c r="L71">
        <f>VLOOKUP(D71,运费!B:C,2,0)</f>
        <v>105</v>
      </c>
      <c r="M71" s="8">
        <f t="shared" si="1"/>
        <v>580870.5</v>
      </c>
      <c r="N71" s="8" cm="1">
        <f t="array" ref="N71">(_xlfn.IFS(J71&gt;=4300,570/550*J71,J71&gt;=3800,0.0806*J71,J71&gt;=3300,0.0706*J71,J71&gt;=2500,0.0676*J71,TRUE,0.02*J71)+10)*H71</f>
        <v>27059009.854545455</v>
      </c>
    </row>
    <row r="72" spans="1:14" x14ac:dyDescent="0.15">
      <c r="A72">
        <v>16</v>
      </c>
      <c r="B72" t="s">
        <v>133</v>
      </c>
      <c r="C72" t="s">
        <v>157</v>
      </c>
      <c r="D72" t="s">
        <v>69</v>
      </c>
      <c r="E72" t="s">
        <v>158</v>
      </c>
      <c r="F72" t="s">
        <v>12</v>
      </c>
      <c r="G72">
        <v>153</v>
      </c>
      <c r="H72">
        <v>4961.6000000000004</v>
      </c>
      <c r="J72">
        <v>5074</v>
      </c>
      <c r="L72">
        <f>VLOOKUP(D72,运费!B:C,2,0)</f>
        <v>104.5</v>
      </c>
      <c r="M72" s="8">
        <f t="shared" si="1"/>
        <v>518487.2</v>
      </c>
      <c r="N72" s="8" cm="1">
        <f t="array" ref="N72">(_xlfn.IFS(J72&gt;=4300,570/550*J72,J72&gt;=3800,0.0806*J72,J72&gt;=3300,0.0706*J72,J72&gt;=2500,0.0676*J72,TRUE,0.02*J72)+10)*H72</f>
        <v>26140234.705454551</v>
      </c>
    </row>
    <row r="73" spans="1:14" x14ac:dyDescent="0.15">
      <c r="A73">
        <v>17</v>
      </c>
      <c r="B73" t="s">
        <v>133</v>
      </c>
      <c r="C73" t="s">
        <v>159</v>
      </c>
      <c r="D73" t="s">
        <v>160</v>
      </c>
      <c r="E73" t="s">
        <v>161</v>
      </c>
      <c r="F73" t="s">
        <v>12</v>
      </c>
      <c r="G73">
        <v>801</v>
      </c>
      <c r="H73">
        <v>25583.54</v>
      </c>
      <c r="J73">
        <v>3205</v>
      </c>
      <c r="L73">
        <f>VLOOKUP(D73,运费!B:C,2,0)</f>
        <v>82</v>
      </c>
      <c r="M73" s="8">
        <f t="shared" si="1"/>
        <v>2097850.2800000003</v>
      </c>
      <c r="N73" s="8" cm="1">
        <f t="array" ref="N73">(_xlfn.IFS(J73&gt;=4300,570/550*J73,J73&gt;=3800,0.0806*J73,J73&gt;=3300,0.0706*J73,J73&gt;=2500,0.0676*J73,TRUE,0.02*J73)+10)*H73</f>
        <v>5798714.0093200002</v>
      </c>
    </row>
    <row r="74" spans="1:14" x14ac:dyDescent="0.15">
      <c r="A74">
        <v>18</v>
      </c>
      <c r="B74" t="s">
        <v>133</v>
      </c>
      <c r="C74" t="s">
        <v>162</v>
      </c>
      <c r="D74" t="s">
        <v>86</v>
      </c>
      <c r="E74" t="s">
        <v>163</v>
      </c>
      <c r="F74" t="s">
        <v>12</v>
      </c>
      <c r="G74">
        <v>242</v>
      </c>
      <c r="H74">
        <v>6992.72</v>
      </c>
      <c r="J74">
        <v>2907</v>
      </c>
      <c r="L74">
        <f>VLOOKUP(D74,运费!B:C,2,0)</f>
        <v>116.8</v>
      </c>
      <c r="M74" s="8">
        <f t="shared" si="1"/>
        <v>816749.696</v>
      </c>
      <c r="N74" s="8" cm="1">
        <f t="array" ref="N74">(_xlfn.IFS(J74&gt;=4300,570/550*J74,J74&gt;=3800,0.0806*J74,J74&gt;=3300,0.0706*J74,J74&gt;=2500,0.0676*J74,TRUE,0.02*J74)+10)*H74</f>
        <v>1444088.9839039999</v>
      </c>
    </row>
    <row r="75" spans="1:14" x14ac:dyDescent="0.15">
      <c r="A75">
        <v>19</v>
      </c>
      <c r="B75" t="s">
        <v>133</v>
      </c>
      <c r="C75" t="s">
        <v>164</v>
      </c>
      <c r="D75" t="s">
        <v>89</v>
      </c>
      <c r="E75" t="s">
        <v>165</v>
      </c>
      <c r="F75" t="s">
        <v>12</v>
      </c>
      <c r="G75">
        <v>733</v>
      </c>
      <c r="H75">
        <v>13766.7</v>
      </c>
      <c r="J75">
        <v>4942</v>
      </c>
      <c r="L75">
        <f>VLOOKUP(D75,运费!B:C,2,0)</f>
        <v>108.51</v>
      </c>
      <c r="M75" s="8">
        <f t="shared" si="1"/>
        <v>1493824.6170000001</v>
      </c>
      <c r="N75" s="8" cm="1">
        <f t="array" ref="N75">(_xlfn.IFS(J75&gt;=4300,570/550*J75,J75&gt;=3800,0.0806*J75,J75&gt;=3300,0.0706*J75,J75&gt;=2500,0.0676*J75,TRUE,0.02*J75)+10)*H75</f>
        <v>70646699.541818187</v>
      </c>
    </row>
    <row r="76" spans="1:14" x14ac:dyDescent="0.15">
      <c r="A76">
        <v>20</v>
      </c>
      <c r="B76" t="s">
        <v>133</v>
      </c>
      <c r="C76" t="s">
        <v>166</v>
      </c>
      <c r="D76" t="s">
        <v>96</v>
      </c>
      <c r="E76" t="s">
        <v>167</v>
      </c>
      <c r="F76" t="s">
        <v>12</v>
      </c>
      <c r="G76">
        <v>385</v>
      </c>
      <c r="H76">
        <v>12340.46</v>
      </c>
      <c r="J76">
        <v>2961</v>
      </c>
      <c r="L76">
        <f>VLOOKUP(D76,运费!B:C,2,0)</f>
        <v>60.5</v>
      </c>
      <c r="M76" s="8">
        <f t="shared" si="1"/>
        <v>746597.83</v>
      </c>
      <c r="N76" s="8" cm="1">
        <f t="array" ref="N76">(_xlfn.IFS(J76&gt;=4300,570/550*J76,J76&gt;=3800,0.0806*J76,J76&gt;=3300,0.0706*J76,J76&gt;=2500,0.0676*J76,TRUE,0.02*J76)+10)*H76</f>
        <v>2593515.4992559995</v>
      </c>
    </row>
    <row r="77" spans="1:14" x14ac:dyDescent="0.15">
      <c r="A77">
        <v>1</v>
      </c>
      <c r="B77" t="s">
        <v>168</v>
      </c>
      <c r="C77" t="s">
        <v>135</v>
      </c>
      <c r="D77" t="s">
        <v>10</v>
      </c>
      <c r="E77" t="s">
        <v>169</v>
      </c>
      <c r="F77" t="s">
        <v>12</v>
      </c>
      <c r="G77">
        <v>1186</v>
      </c>
      <c r="H77">
        <v>22217.93</v>
      </c>
      <c r="J77">
        <v>3282</v>
      </c>
      <c r="L77">
        <f>VLOOKUP(D77,运费!B:C,2,0)</f>
        <v>147.1</v>
      </c>
      <c r="M77" s="8">
        <f t="shared" si="1"/>
        <v>3268257.503</v>
      </c>
      <c r="N77" s="8" cm="1">
        <f t="array" ref="N77">(_xlfn.IFS(J77&gt;=4300,570/550*J77,J77&gt;=3800,0.0806*J77,J77&gt;=3300,0.0706*J77,J77&gt;=2500,0.0676*J77,TRUE,0.02*J77)+10)*H77</f>
        <v>5151520.3471759995</v>
      </c>
    </row>
    <row r="78" spans="1:14" x14ac:dyDescent="0.15">
      <c r="A78">
        <v>2</v>
      </c>
      <c r="B78" t="s">
        <v>168</v>
      </c>
      <c r="C78" t="s">
        <v>170</v>
      </c>
      <c r="D78" t="s">
        <v>27</v>
      </c>
      <c r="E78" t="s">
        <v>171</v>
      </c>
      <c r="F78" t="s">
        <v>12</v>
      </c>
      <c r="G78">
        <v>179</v>
      </c>
      <c r="H78">
        <v>5858.72</v>
      </c>
      <c r="J78">
        <v>5138</v>
      </c>
      <c r="L78">
        <f>VLOOKUP(D78,运费!B:C,2,0)</f>
        <v>104.5</v>
      </c>
      <c r="M78" s="8">
        <f t="shared" si="1"/>
        <v>612236.24</v>
      </c>
      <c r="N78" s="8" cm="1">
        <f t="array" ref="N78">(_xlfn.IFS(J78&gt;=4300,570/550*J78,J78&gt;=3800,0.0806*J78,J78&gt;=3300,0.0706*J78,J78&gt;=2500,0.0676*J78,TRUE,0.02*J78)+10)*H78</f>
        <v>31255312.500363637</v>
      </c>
    </row>
    <row r="79" spans="1:14" x14ac:dyDescent="0.15">
      <c r="A79">
        <v>3</v>
      </c>
      <c r="B79" t="s">
        <v>168</v>
      </c>
      <c r="C79" t="s">
        <v>172</v>
      </c>
      <c r="D79" t="s">
        <v>30</v>
      </c>
      <c r="E79" t="s">
        <v>173</v>
      </c>
      <c r="F79" t="s">
        <v>12</v>
      </c>
      <c r="G79">
        <v>46</v>
      </c>
      <c r="H79">
        <v>1437.8</v>
      </c>
      <c r="J79" t="e">
        <v>#N/A</v>
      </c>
      <c r="L79">
        <f>VLOOKUP(D79,运费!B:C,2,0)</f>
        <v>78</v>
      </c>
      <c r="M79" s="8">
        <f t="shared" si="1"/>
        <v>112148.4</v>
      </c>
      <c r="N79" s="8" t="e" cm="1">
        <f t="array" ref="N79">(_xlfn.IFS(J79&gt;=4300,570/550*J79,J79&gt;=3800,0.0806*J79,J79&gt;=3300,0.0706*J79,J79&gt;=2500,0.0676*J79,TRUE,0.02*J79)+10)*H79</f>
        <v>#N/A</v>
      </c>
    </row>
    <row r="80" spans="1:14" x14ac:dyDescent="0.15">
      <c r="A80">
        <v>4</v>
      </c>
      <c r="B80" t="s">
        <v>168</v>
      </c>
      <c r="C80" t="s">
        <v>174</v>
      </c>
      <c r="D80" t="s">
        <v>33</v>
      </c>
      <c r="E80" t="s">
        <v>175</v>
      </c>
      <c r="F80" t="s">
        <v>12</v>
      </c>
      <c r="G80">
        <v>258</v>
      </c>
      <c r="H80">
        <v>8264.73</v>
      </c>
      <c r="J80">
        <v>3956</v>
      </c>
      <c r="L80">
        <f>VLOOKUP(D80,运费!B:C,2,0)</f>
        <v>58</v>
      </c>
      <c r="M80" s="8">
        <f t="shared" si="1"/>
        <v>479354.33999999997</v>
      </c>
      <c r="N80" s="8" cm="1">
        <f t="array" ref="N80">(_xlfn.IFS(J80&gt;=4300,570/550*J80,J80&gt;=3800,0.0806*J80,J80&gt;=3300,0.0706*J80,J80&gt;=2500,0.0676*J80,TRUE,0.02*J80)+10)*H80</f>
        <v>2717886.2135280003</v>
      </c>
    </row>
    <row r="81" spans="1:14" x14ac:dyDescent="0.15">
      <c r="A81">
        <v>5</v>
      </c>
      <c r="B81" t="s">
        <v>168</v>
      </c>
      <c r="C81" t="s">
        <v>143</v>
      </c>
      <c r="D81" t="s">
        <v>43</v>
      </c>
      <c r="E81" t="s">
        <v>176</v>
      </c>
      <c r="F81" t="s">
        <v>45</v>
      </c>
      <c r="G81">
        <v>16</v>
      </c>
      <c r="H81">
        <v>508.56</v>
      </c>
      <c r="J81">
        <v>4368</v>
      </c>
      <c r="L81">
        <f>VLOOKUP(D81,运费!B:C,2,0)</f>
        <v>117</v>
      </c>
      <c r="M81" s="8">
        <f t="shared" si="1"/>
        <v>59501.52</v>
      </c>
      <c r="N81" s="8" cm="1">
        <f t="array" ref="N81">(_xlfn.IFS(J81&gt;=4300,570/550*J81,J81&gt;=3800,0.0806*J81,J81&gt;=3300,0.0706*J81,J81&gt;=2500,0.0676*J81,TRUE,0.02*J81)+10)*H81</f>
        <v>2307253.5010909094</v>
      </c>
    </row>
    <row r="82" spans="1:14" x14ac:dyDescent="0.15">
      <c r="A82">
        <v>6</v>
      </c>
      <c r="B82" t="s">
        <v>168</v>
      </c>
      <c r="C82" t="s">
        <v>177</v>
      </c>
      <c r="D82" t="s">
        <v>43</v>
      </c>
      <c r="E82" t="s">
        <v>176</v>
      </c>
      <c r="F82" t="s">
        <v>45</v>
      </c>
      <c r="G82">
        <v>310</v>
      </c>
      <c r="H82">
        <v>9911.14</v>
      </c>
      <c r="J82">
        <v>4368</v>
      </c>
      <c r="L82">
        <f>VLOOKUP(D82,运费!B:C,2,0)</f>
        <v>117</v>
      </c>
      <c r="M82" s="8">
        <f t="shared" si="1"/>
        <v>1159603.3799999999</v>
      </c>
      <c r="N82" s="8" cm="1">
        <f t="array" ref="N82">(_xlfn.IFS(J82&gt;=4300,570/550*J82,J82&gt;=3800,0.0806*J82,J82&gt;=3300,0.0706*J82,J82&gt;=2500,0.0676*J82,TRUE,0.02*J82)+10)*H82</f>
        <v>44965220.357090905</v>
      </c>
    </row>
    <row r="83" spans="1:14" x14ac:dyDescent="0.15">
      <c r="A83">
        <v>7</v>
      </c>
      <c r="B83" t="s">
        <v>168</v>
      </c>
      <c r="C83" t="s">
        <v>178</v>
      </c>
      <c r="D83" t="s">
        <v>47</v>
      </c>
      <c r="E83" t="s">
        <v>179</v>
      </c>
      <c r="F83" t="s">
        <v>45</v>
      </c>
      <c r="G83">
        <v>10</v>
      </c>
      <c r="H83">
        <v>309.64</v>
      </c>
      <c r="J83">
        <v>3399</v>
      </c>
      <c r="L83">
        <f>VLOOKUP(D83,运费!B:C,2,0)</f>
        <v>81</v>
      </c>
      <c r="M83" s="8">
        <f t="shared" si="1"/>
        <v>25080.84</v>
      </c>
      <c r="N83" s="8" cm="1">
        <f t="array" ref="N83">(_xlfn.IFS(J83&gt;=4300,570/550*J83,J83&gt;=3800,0.0806*J83,J83&gt;=3300,0.0706*J83,J83&gt;=2500,0.0676*J83,TRUE,0.02*J83)+10)*H83</f>
        <v>77400.525015999985</v>
      </c>
    </row>
    <row r="84" spans="1:14" x14ac:dyDescent="0.15">
      <c r="A84">
        <v>8</v>
      </c>
      <c r="B84" t="s">
        <v>168</v>
      </c>
      <c r="C84" t="s">
        <v>180</v>
      </c>
      <c r="D84" t="s">
        <v>147</v>
      </c>
      <c r="E84" t="s">
        <v>181</v>
      </c>
      <c r="F84" t="s">
        <v>45</v>
      </c>
      <c r="G84">
        <v>44</v>
      </c>
      <c r="H84">
        <v>1341.06</v>
      </c>
      <c r="J84">
        <v>2974</v>
      </c>
      <c r="L84">
        <f>VLOOKUP(D84,运费!B:C,2,0)</f>
        <v>70</v>
      </c>
      <c r="M84" s="8">
        <f t="shared" si="1"/>
        <v>93874.2</v>
      </c>
      <c r="N84" s="8" cm="1">
        <f t="array" ref="N84">(_xlfn.IFS(J84&gt;=4300,570/550*J84,J84&gt;=3800,0.0806*J84,J84&gt;=3300,0.0706*J84,J84&gt;=2500,0.0676*J84,TRUE,0.02*J84)+10)*H84</f>
        <v>283020.52094399999</v>
      </c>
    </row>
    <row r="85" spans="1:14" x14ac:dyDescent="0.15">
      <c r="A85">
        <v>9</v>
      </c>
      <c r="B85" t="s">
        <v>168</v>
      </c>
      <c r="C85" t="s">
        <v>182</v>
      </c>
      <c r="D85" t="s">
        <v>50</v>
      </c>
      <c r="E85" t="s">
        <v>183</v>
      </c>
      <c r="F85" t="s">
        <v>45</v>
      </c>
      <c r="G85">
        <v>92</v>
      </c>
      <c r="H85">
        <v>2983.36</v>
      </c>
      <c r="J85">
        <v>4012</v>
      </c>
      <c r="L85">
        <f>VLOOKUP(D85,运费!B:C,2,0)</f>
        <v>79</v>
      </c>
      <c r="M85" s="8">
        <f t="shared" si="1"/>
        <v>235685.44</v>
      </c>
      <c r="N85" s="8" cm="1">
        <f t="array" ref="N85">(_xlfn.IFS(J85&gt;=4300,570/550*J85,J85&gt;=3800,0.0806*J85,J85&gt;=3300,0.0706*J85,J85&gt;=2500,0.0676*J85,TRUE,0.02*J85)+10)*H85</f>
        <v>994554.36979200016</v>
      </c>
    </row>
    <row r="86" spans="1:14" x14ac:dyDescent="0.15">
      <c r="A86">
        <v>10</v>
      </c>
      <c r="B86" t="s">
        <v>168</v>
      </c>
      <c r="C86" t="s">
        <v>151</v>
      </c>
      <c r="D86" t="s">
        <v>56</v>
      </c>
      <c r="E86" t="s">
        <v>184</v>
      </c>
      <c r="F86" t="s">
        <v>12</v>
      </c>
      <c r="G86">
        <v>44</v>
      </c>
      <c r="H86">
        <v>1402.62</v>
      </c>
      <c r="J86">
        <v>3765</v>
      </c>
      <c r="L86">
        <f>VLOOKUP(D86,运费!B:C,2,0)</f>
        <v>67</v>
      </c>
      <c r="M86" s="8">
        <f t="shared" si="1"/>
        <v>93975.54</v>
      </c>
      <c r="N86" s="8" cm="1">
        <f t="array" ref="N86">(_xlfn.IFS(J86&gt;=4300,570/550*J86,J86&gt;=3800,0.0806*J86,J86&gt;=3300,0.0706*J86,J86&gt;=2500,0.0676*J86,TRUE,0.02*J86)+10)*H86</f>
        <v>386855.21957999992</v>
      </c>
    </row>
    <row r="87" spans="1:14" x14ac:dyDescent="0.15">
      <c r="A87">
        <v>11</v>
      </c>
      <c r="B87" t="s">
        <v>168</v>
      </c>
      <c r="C87" t="s">
        <v>185</v>
      </c>
      <c r="D87" t="s">
        <v>66</v>
      </c>
      <c r="E87" t="s">
        <v>186</v>
      </c>
      <c r="F87" t="s">
        <v>12</v>
      </c>
      <c r="G87">
        <v>211</v>
      </c>
      <c r="H87">
        <v>6911.68</v>
      </c>
      <c r="J87">
        <v>4615</v>
      </c>
      <c r="L87">
        <f>VLOOKUP(D87,运费!B:C,2,0)</f>
        <v>101.5</v>
      </c>
      <c r="M87" s="8">
        <f t="shared" si="1"/>
        <v>701535.52</v>
      </c>
      <c r="N87" s="8" cm="1">
        <f t="array" ref="N87">(_xlfn.IFS(J87&gt;=4300,570/550*J87,J87&gt;=3800,0.0806*J87,J87&gt;=3300,0.0706*J87,J87&gt;=2500,0.0676*J87,TRUE,0.02*J87)+10)*H87</f>
        <v>33126425.570909094</v>
      </c>
    </row>
    <row r="88" spans="1:14" x14ac:dyDescent="0.15">
      <c r="A88">
        <v>12</v>
      </c>
      <c r="B88" t="s">
        <v>168</v>
      </c>
      <c r="C88" t="s">
        <v>187</v>
      </c>
      <c r="D88" t="s">
        <v>160</v>
      </c>
      <c r="E88" t="s">
        <v>188</v>
      </c>
      <c r="F88" t="s">
        <v>12</v>
      </c>
      <c r="G88">
        <v>716</v>
      </c>
      <c r="H88">
        <v>23063.5</v>
      </c>
      <c r="J88">
        <v>2927</v>
      </c>
      <c r="L88">
        <f>VLOOKUP(D88,运费!B:C,2,0)</f>
        <v>82</v>
      </c>
      <c r="M88" s="8">
        <f t="shared" si="1"/>
        <v>1891207</v>
      </c>
      <c r="N88" s="8" cm="1">
        <f t="array" ref="N88">(_xlfn.IFS(J88&gt;=4300,570/550*J88,J88&gt;=3800,0.0806*J88,J88&gt;=3300,0.0706*J88,J88&gt;=2500,0.0676*J88,TRUE,0.02*J88)+10)*H88</f>
        <v>4794099.0401999997</v>
      </c>
    </row>
    <row r="89" spans="1:14" x14ac:dyDescent="0.15">
      <c r="A89">
        <v>13</v>
      </c>
      <c r="B89" t="s">
        <v>168</v>
      </c>
      <c r="C89" t="s">
        <v>162</v>
      </c>
      <c r="D89" t="s">
        <v>86</v>
      </c>
      <c r="E89" t="s">
        <v>189</v>
      </c>
      <c r="F89" t="s">
        <v>12</v>
      </c>
      <c r="G89">
        <v>120</v>
      </c>
      <c r="H89">
        <v>3596.48</v>
      </c>
      <c r="J89">
        <v>3074</v>
      </c>
      <c r="L89">
        <f>VLOOKUP(D89,运费!B:C,2,0)</f>
        <v>116.8</v>
      </c>
      <c r="M89" s="8">
        <f t="shared" si="1"/>
        <v>420068.864</v>
      </c>
      <c r="N89" s="8" cm="1">
        <f t="array" ref="N89">(_xlfn.IFS(J89&gt;=4300,570/550*J89,J89&gt;=3800,0.0806*J89,J89&gt;=3300,0.0706*J89,J89&gt;=2500,0.0676*J89,TRUE,0.02*J89)+10)*H89</f>
        <v>783321.97555199987</v>
      </c>
    </row>
    <row r="90" spans="1:14" x14ac:dyDescent="0.15">
      <c r="A90">
        <v>14</v>
      </c>
      <c r="B90" t="s">
        <v>168</v>
      </c>
      <c r="C90" t="s">
        <v>164</v>
      </c>
      <c r="D90" t="s">
        <v>89</v>
      </c>
      <c r="E90" t="s">
        <v>190</v>
      </c>
      <c r="F90" t="s">
        <v>12</v>
      </c>
      <c r="G90">
        <v>366</v>
      </c>
      <c r="H90">
        <v>6866.68</v>
      </c>
      <c r="J90">
        <v>4971</v>
      </c>
      <c r="L90">
        <f>VLOOKUP(D90,运费!B:C,2,0)</f>
        <v>108.51</v>
      </c>
      <c r="M90" s="8">
        <f t="shared" si="1"/>
        <v>745103.44680000003</v>
      </c>
      <c r="N90" s="8" cm="1">
        <f t="array" ref="N90">(_xlfn.IFS(J90&gt;=4300,570/550*J90,J90&gt;=3800,0.0806*J90,J90&gt;=3300,0.0706*J90,J90&gt;=2500,0.0676*J90,TRUE,0.02*J90)+10)*H90</f>
        <v>35444179.126545459</v>
      </c>
    </row>
    <row r="91" spans="1:14" x14ac:dyDescent="0.15">
      <c r="A91">
        <v>15</v>
      </c>
      <c r="B91" t="s">
        <v>168</v>
      </c>
      <c r="C91" t="s">
        <v>191</v>
      </c>
      <c r="D91" t="s">
        <v>89</v>
      </c>
      <c r="E91" t="s">
        <v>190</v>
      </c>
      <c r="F91" t="s">
        <v>12</v>
      </c>
      <c r="G91">
        <v>539</v>
      </c>
      <c r="H91">
        <v>9986.26</v>
      </c>
      <c r="J91">
        <v>4971</v>
      </c>
      <c r="L91">
        <f>VLOOKUP(D91,运费!B:C,2,0)</f>
        <v>108.51</v>
      </c>
      <c r="M91" s="8">
        <f t="shared" si="1"/>
        <v>1083609.0726000001</v>
      </c>
      <c r="N91" s="8" cm="1">
        <f t="array" ref="N91">(_xlfn.IFS(J91&gt;=4300,570/550*J91,J91&gt;=3800,0.0806*J91,J91&gt;=3300,0.0706*J91,J91&gt;=2500,0.0676*J91,TRUE,0.02*J91)+10)*H91</f>
        <v>51546713.731272727</v>
      </c>
    </row>
    <row r="92" spans="1:14" x14ac:dyDescent="0.15">
      <c r="A92">
        <v>16</v>
      </c>
      <c r="B92" t="s">
        <v>168</v>
      </c>
      <c r="C92" t="s">
        <v>192</v>
      </c>
      <c r="D92" t="s">
        <v>96</v>
      </c>
      <c r="E92" t="s">
        <v>193</v>
      </c>
      <c r="F92" t="s">
        <v>12</v>
      </c>
      <c r="G92">
        <v>387</v>
      </c>
      <c r="H92">
        <v>12444.7</v>
      </c>
      <c r="J92">
        <v>4042</v>
      </c>
      <c r="L92">
        <f>VLOOKUP(D92,运费!B:C,2,0)</f>
        <v>60.5</v>
      </c>
      <c r="M92" s="8">
        <f t="shared" si="1"/>
        <v>752904.35000000009</v>
      </c>
      <c r="N92" s="8" cm="1">
        <f t="array" ref="N92">(_xlfn.IFS(J92&gt;=4300,570/550*J92,J92&gt;=3800,0.0806*J92,J92&gt;=3300,0.0706*J92,J92&gt;=2500,0.0676*J92,TRUE,0.02*J92)+10)*H92</f>
        <v>4178746.0784400008</v>
      </c>
    </row>
    <row r="93" spans="1:14" x14ac:dyDescent="0.15">
      <c r="A93">
        <v>1</v>
      </c>
      <c r="B93" t="s">
        <v>194</v>
      </c>
      <c r="C93" t="s">
        <v>195</v>
      </c>
      <c r="D93" t="s">
        <v>10</v>
      </c>
      <c r="E93" t="s">
        <v>196</v>
      </c>
      <c r="F93" t="s">
        <v>12</v>
      </c>
      <c r="G93">
        <v>1180</v>
      </c>
      <c r="H93">
        <v>21812.5</v>
      </c>
      <c r="J93">
        <v>3346</v>
      </c>
      <c r="L93">
        <f>VLOOKUP(D93,运费!B:C,2,0)</f>
        <v>147.1</v>
      </c>
      <c r="M93" s="8">
        <f t="shared" si="1"/>
        <v>3208618.75</v>
      </c>
      <c r="N93" s="8" cm="1">
        <f t="array" ref="N93">(_xlfn.IFS(J93&gt;=4300,570/550*J93,J93&gt;=3800,0.0806*J93,J93&gt;=3300,0.0706*J93,J93&gt;=2500,0.0676*J93,TRUE,0.02*J93)+10)*H93</f>
        <v>5370839.5249999994</v>
      </c>
    </row>
    <row r="94" spans="1:14" x14ac:dyDescent="0.15">
      <c r="A94">
        <v>2</v>
      </c>
      <c r="B94" t="s">
        <v>194</v>
      </c>
      <c r="C94" t="s">
        <v>172</v>
      </c>
      <c r="D94" t="s">
        <v>30</v>
      </c>
      <c r="E94" t="s">
        <v>197</v>
      </c>
      <c r="F94" t="s">
        <v>12</v>
      </c>
      <c r="G94">
        <v>10</v>
      </c>
      <c r="H94">
        <v>317.04000000000002</v>
      </c>
      <c r="J94">
        <v>4233</v>
      </c>
      <c r="L94">
        <f>VLOOKUP(D94,运费!B:C,2,0)</f>
        <v>78</v>
      </c>
      <c r="M94" s="8">
        <f t="shared" si="1"/>
        <v>24729.120000000003</v>
      </c>
      <c r="N94" s="8" cm="1">
        <f t="array" ref="N94">(_xlfn.IFS(J94&gt;=4300,570/550*J94,J94&gt;=3800,0.0806*J94,J94&gt;=3300,0.0706*J94,J94&gt;=2500,0.0676*J94,TRUE,0.02*J94)+10)*H94</f>
        <v>111338.04379200001</v>
      </c>
    </row>
    <row r="95" spans="1:14" x14ac:dyDescent="0.15">
      <c r="A95">
        <v>3</v>
      </c>
      <c r="B95" t="s">
        <v>194</v>
      </c>
      <c r="C95" t="s">
        <v>198</v>
      </c>
      <c r="D95" t="s">
        <v>33</v>
      </c>
      <c r="E95" t="s">
        <v>199</v>
      </c>
      <c r="F95" t="s">
        <v>12</v>
      </c>
      <c r="G95">
        <v>217</v>
      </c>
      <c r="H95">
        <v>6953.18</v>
      </c>
      <c r="J95">
        <v>2858</v>
      </c>
      <c r="L95">
        <f>VLOOKUP(D95,运费!B:C,2,0)</f>
        <v>58</v>
      </c>
      <c r="M95" s="8">
        <f t="shared" si="1"/>
        <v>403284.44</v>
      </c>
      <c r="N95" s="8" cm="1">
        <f t="array" ref="N95">(_xlfn.IFS(J95&gt;=4300,570/550*J95,J95&gt;=3800,0.0806*J95,J95&gt;=3300,0.0706*J95,J95&gt;=2500,0.0676*J95,TRUE,0.02*J95)+10)*H95</f>
        <v>1412891.7385440001</v>
      </c>
    </row>
    <row r="96" spans="1:14" x14ac:dyDescent="0.15">
      <c r="A96">
        <v>4</v>
      </c>
      <c r="B96" t="s">
        <v>194</v>
      </c>
      <c r="C96" t="s">
        <v>200</v>
      </c>
      <c r="D96" t="s">
        <v>43</v>
      </c>
      <c r="E96" t="s">
        <v>201</v>
      </c>
      <c r="F96" t="s">
        <v>45</v>
      </c>
      <c r="G96">
        <v>404</v>
      </c>
      <c r="H96">
        <v>12867.18</v>
      </c>
      <c r="J96">
        <v>4058</v>
      </c>
      <c r="L96">
        <f>VLOOKUP(D96,运费!B:C,2,0)</f>
        <v>117</v>
      </c>
      <c r="M96" s="8">
        <f t="shared" si="1"/>
        <v>1505460.06</v>
      </c>
      <c r="N96" s="8" cm="1">
        <f t="array" ref="N96">(_xlfn.IFS(J96&gt;=4300,570/550*J96,J96&gt;=3800,0.0806*J96,J96&gt;=3300,0.0706*J96,J96&gt;=2500,0.0676*J96,TRUE,0.02*J96)+10)*H96</f>
        <v>4337202.1250640005</v>
      </c>
    </row>
    <row r="97" spans="1:14" x14ac:dyDescent="0.15">
      <c r="A97">
        <v>5</v>
      </c>
      <c r="B97" t="s">
        <v>194</v>
      </c>
      <c r="C97" t="s">
        <v>202</v>
      </c>
      <c r="D97" t="s">
        <v>47</v>
      </c>
      <c r="E97" t="s">
        <v>203</v>
      </c>
      <c r="F97" t="s">
        <v>45</v>
      </c>
      <c r="G97">
        <v>32</v>
      </c>
      <c r="H97">
        <v>976.42</v>
      </c>
      <c r="J97">
        <v>2774</v>
      </c>
      <c r="L97">
        <f>VLOOKUP(D97,运费!B:C,2,0)</f>
        <v>81</v>
      </c>
      <c r="M97" s="8">
        <f t="shared" si="1"/>
        <v>79090.01999999999</v>
      </c>
      <c r="N97" s="8" cm="1">
        <f t="array" ref="N97">(_xlfn.IFS(J97&gt;=4300,570/550*J97,J97&gt;=3800,0.0806*J97,J97&gt;=3300,0.0706*J97,J97&gt;=2500,0.0676*J97,TRUE,0.02*J97)+10)*H97</f>
        <v>192864.82180799998</v>
      </c>
    </row>
    <row r="98" spans="1:14" x14ac:dyDescent="0.15">
      <c r="A98">
        <v>6</v>
      </c>
      <c r="B98" t="s">
        <v>194</v>
      </c>
      <c r="C98" t="s">
        <v>204</v>
      </c>
      <c r="D98" t="s">
        <v>147</v>
      </c>
      <c r="E98" t="s">
        <v>205</v>
      </c>
      <c r="F98" t="s">
        <v>45</v>
      </c>
      <c r="G98">
        <v>64</v>
      </c>
      <c r="H98">
        <v>1980.46</v>
      </c>
      <c r="J98">
        <v>3224</v>
      </c>
      <c r="L98">
        <f>VLOOKUP(D98,运费!B:C,2,0)</f>
        <v>70</v>
      </c>
      <c r="M98" s="8">
        <f t="shared" si="1"/>
        <v>138632.20000000001</v>
      </c>
      <c r="N98" s="8" cm="1">
        <f t="array" ref="N98">(_xlfn.IFS(J98&gt;=4300,570/550*J98,J98&gt;=3800,0.0806*J98,J98&gt;=3300,0.0706*J98,J98&gt;=2500,0.0676*J98,TRUE,0.02*J98)+10)*H98</f>
        <v>451430.80550399999</v>
      </c>
    </row>
    <row r="99" spans="1:14" x14ac:dyDescent="0.15">
      <c r="A99">
        <v>7</v>
      </c>
      <c r="B99" t="s">
        <v>194</v>
      </c>
      <c r="C99" t="s">
        <v>206</v>
      </c>
      <c r="D99" t="s">
        <v>207</v>
      </c>
      <c r="E99" t="s">
        <v>208</v>
      </c>
      <c r="F99" t="s">
        <v>45</v>
      </c>
      <c r="G99">
        <v>79</v>
      </c>
      <c r="H99">
        <v>2477.44</v>
      </c>
      <c r="J99">
        <v>3587</v>
      </c>
      <c r="L99">
        <f>VLOOKUP(D99,运费!B:C,2,0)</f>
        <v>113</v>
      </c>
      <c r="M99" s="8">
        <f t="shared" si="1"/>
        <v>279950.72000000003</v>
      </c>
      <c r="N99" s="8" cm="1">
        <f t="array" ref="N99">(_xlfn.IFS(J99&gt;=4300,570/550*J99,J99&gt;=3800,0.0806*J99,J99&gt;=3300,0.0706*J99,J99&gt;=2500,0.0676*J99,TRUE,0.02*J99)+10)*H99</f>
        <v>652166.75596800004</v>
      </c>
    </row>
    <row r="100" spans="1:14" x14ac:dyDescent="0.15">
      <c r="A100">
        <v>8</v>
      </c>
      <c r="B100" t="s">
        <v>194</v>
      </c>
      <c r="C100" t="s">
        <v>209</v>
      </c>
      <c r="D100" t="s">
        <v>50</v>
      </c>
      <c r="E100" t="s">
        <v>210</v>
      </c>
      <c r="F100" t="s">
        <v>45</v>
      </c>
      <c r="G100">
        <v>50</v>
      </c>
      <c r="H100">
        <v>1613.24</v>
      </c>
      <c r="J100">
        <v>3456</v>
      </c>
      <c r="L100">
        <f>VLOOKUP(D100,运费!B:C,2,0)</f>
        <v>79</v>
      </c>
      <c r="M100" s="8">
        <f t="shared" si="1"/>
        <v>127445.96</v>
      </c>
      <c r="N100" s="8" cm="1">
        <f t="array" ref="N100">(_xlfn.IFS(J100&gt;=4300,570/550*J100,J100&gt;=3800,0.0806*J100,J100&gt;=3300,0.0706*J100,J100&gt;=2500,0.0676*J100,TRUE,0.02*J100)+10)*H100</f>
        <v>409752.63526399998</v>
      </c>
    </row>
    <row r="101" spans="1:14" x14ac:dyDescent="0.15">
      <c r="A101">
        <v>9</v>
      </c>
      <c r="B101" t="s">
        <v>194</v>
      </c>
      <c r="C101" t="s">
        <v>211</v>
      </c>
      <c r="D101" t="s">
        <v>212</v>
      </c>
      <c r="E101" t="s">
        <v>213</v>
      </c>
      <c r="F101" t="s">
        <v>45</v>
      </c>
      <c r="G101">
        <v>47</v>
      </c>
      <c r="H101">
        <v>1477.56</v>
      </c>
      <c r="J101">
        <v>4047</v>
      </c>
      <c r="L101">
        <f>VLOOKUP(D101,运费!B:C,2,0)</f>
        <v>108</v>
      </c>
      <c r="M101" s="8">
        <f t="shared" si="1"/>
        <v>159576.47999999998</v>
      </c>
      <c r="N101" s="8" cm="1">
        <f t="array" ref="N101">(_xlfn.IFS(J101&gt;=4300,570/550*J101,J101&gt;=3800,0.0806*J101,J101&gt;=3300,0.0706*J101,J101&gt;=2500,0.0676*J101,TRUE,0.02*J101)+10)*H101</f>
        <v>496738.23679199995</v>
      </c>
    </row>
    <row r="102" spans="1:14" x14ac:dyDescent="0.15">
      <c r="A102">
        <v>10</v>
      </c>
      <c r="B102" t="s">
        <v>194</v>
      </c>
      <c r="C102" t="s">
        <v>214</v>
      </c>
      <c r="D102" t="s">
        <v>160</v>
      </c>
      <c r="E102" t="s">
        <v>215</v>
      </c>
      <c r="F102" t="s">
        <v>12</v>
      </c>
      <c r="G102">
        <v>624</v>
      </c>
      <c r="H102">
        <v>20070.68</v>
      </c>
      <c r="J102">
        <v>3199</v>
      </c>
      <c r="L102">
        <f>VLOOKUP(D102,运费!B:C,2,0)</f>
        <v>82</v>
      </c>
      <c r="M102" s="8">
        <f t="shared" si="1"/>
        <v>1645795.76</v>
      </c>
      <c r="N102" s="8" cm="1">
        <f t="array" ref="N102">(_xlfn.IFS(J102&gt;=4300,570/550*J102,J102&gt;=3800,0.0806*J102,J102&gt;=3300,0.0706*J102,J102&gt;=2500,0.0676*J102,TRUE,0.02*J102)+10)*H102</f>
        <v>4541039.5196319995</v>
      </c>
    </row>
    <row r="103" spans="1:14" x14ac:dyDescent="0.15">
      <c r="A103">
        <v>11</v>
      </c>
      <c r="B103" t="s">
        <v>194</v>
      </c>
      <c r="C103" t="s">
        <v>216</v>
      </c>
      <c r="D103" t="s">
        <v>86</v>
      </c>
      <c r="E103" t="s">
        <v>217</v>
      </c>
      <c r="F103" t="s">
        <v>12</v>
      </c>
      <c r="G103">
        <v>172</v>
      </c>
      <c r="H103">
        <v>3733.84</v>
      </c>
      <c r="J103">
        <v>3743</v>
      </c>
      <c r="L103">
        <f>VLOOKUP(D103,运费!B:C,2,0)</f>
        <v>116.8</v>
      </c>
      <c r="M103" s="8">
        <f t="shared" si="1"/>
        <v>436112.51199999999</v>
      </c>
      <c r="N103" s="8" cm="1">
        <f t="array" ref="N103">(_xlfn.IFS(J103&gt;=4300,570/550*J103,J103&gt;=3800,0.0806*J103,J103&gt;=3300,0.0706*J103,J103&gt;=2500,0.0676*J103,TRUE,0.02*J103)+10)*H103</f>
        <v>1024027.2762719999</v>
      </c>
    </row>
    <row r="104" spans="1:14" x14ac:dyDescent="0.15">
      <c r="A104">
        <v>12</v>
      </c>
      <c r="B104" t="s">
        <v>194</v>
      </c>
      <c r="C104" t="s">
        <v>191</v>
      </c>
      <c r="D104" t="s">
        <v>89</v>
      </c>
      <c r="E104" t="s">
        <v>218</v>
      </c>
      <c r="F104" t="s">
        <v>12</v>
      </c>
      <c r="G104">
        <v>696</v>
      </c>
      <c r="H104">
        <v>12906.96</v>
      </c>
      <c r="J104">
        <v>4888</v>
      </c>
      <c r="L104">
        <f>VLOOKUP(D104,运费!B:C,2,0)</f>
        <v>108.51</v>
      </c>
      <c r="M104" s="8">
        <f t="shared" si="1"/>
        <v>1400534.2296</v>
      </c>
      <c r="N104" s="8" cm="1">
        <f t="array" ref="N104">(_xlfn.IFS(J104&gt;=4300,570/550*J104,J104&gt;=3800,0.0806*J104,J104&gt;=3300,0.0706*J104,J104&gt;=2500,0.0676*J104,TRUE,0.02*J104)+10)*H104</f>
        <v>65512443.552000001</v>
      </c>
    </row>
    <row r="105" spans="1:14" x14ac:dyDescent="0.15">
      <c r="A105">
        <v>13</v>
      </c>
      <c r="B105" t="s">
        <v>194</v>
      </c>
      <c r="C105" t="s">
        <v>219</v>
      </c>
      <c r="D105" t="s">
        <v>89</v>
      </c>
      <c r="E105" t="s">
        <v>218</v>
      </c>
      <c r="F105" t="s">
        <v>12</v>
      </c>
      <c r="G105">
        <v>524</v>
      </c>
      <c r="H105">
        <v>9564.7800000000007</v>
      </c>
      <c r="J105">
        <v>4888</v>
      </c>
      <c r="L105">
        <f>VLOOKUP(D105,运费!B:C,2,0)</f>
        <v>108.51</v>
      </c>
      <c r="M105" s="8">
        <f t="shared" si="1"/>
        <v>1037874.2778000002</v>
      </c>
      <c r="N105" s="8" cm="1">
        <f t="array" ref="N105">(_xlfn.IFS(J105&gt;=4300,570/550*J105,J105&gt;=3800,0.0806*J105,J105&gt;=3300,0.0706*J105,J105&gt;=2500,0.0676*J105,TRUE,0.02*J105)+10)*H105</f>
        <v>48548388.608727276</v>
      </c>
    </row>
    <row r="106" spans="1:14" x14ac:dyDescent="0.15">
      <c r="A106">
        <v>14</v>
      </c>
      <c r="B106" t="s">
        <v>194</v>
      </c>
      <c r="C106" t="s">
        <v>220</v>
      </c>
      <c r="D106" t="s">
        <v>96</v>
      </c>
      <c r="E106" t="s">
        <v>221</v>
      </c>
      <c r="F106" t="s">
        <v>12</v>
      </c>
      <c r="G106">
        <v>357</v>
      </c>
      <c r="H106">
        <v>11429.36</v>
      </c>
      <c r="J106">
        <v>3770</v>
      </c>
      <c r="L106">
        <f>VLOOKUP(D106,运费!B:C,2,0)</f>
        <v>60.5</v>
      </c>
      <c r="M106" s="8">
        <f t="shared" si="1"/>
        <v>691476.28</v>
      </c>
      <c r="N106" s="8" cm="1">
        <f t="array" ref="N106">(_xlfn.IFS(J106&gt;=4300,570/550*J106,J106&gt;=3800,0.0806*J106,J106&gt;=3300,0.0706*J106,J106&gt;=2500,0.0676*J106,TRUE,0.02*J106)+10)*H106</f>
        <v>3156354.9163199998</v>
      </c>
    </row>
    <row r="107" spans="1:14" x14ac:dyDescent="0.15">
      <c r="A107">
        <v>1</v>
      </c>
      <c r="B107" t="s">
        <v>222</v>
      </c>
      <c r="C107" t="s">
        <v>195</v>
      </c>
      <c r="D107" t="s">
        <v>10</v>
      </c>
      <c r="E107" t="s">
        <v>223</v>
      </c>
      <c r="F107" t="s">
        <v>12</v>
      </c>
      <c r="G107">
        <v>50</v>
      </c>
      <c r="H107">
        <v>921.28</v>
      </c>
      <c r="J107">
        <v>3303</v>
      </c>
      <c r="L107">
        <f>VLOOKUP(D107,运费!B:C,2,0)</f>
        <v>147.1</v>
      </c>
      <c r="M107" s="8">
        <f t="shared" si="1"/>
        <v>135520.288</v>
      </c>
      <c r="N107" s="8" cm="1">
        <f t="array" ref="N107">(_xlfn.IFS(J107&gt;=4300,570/550*J107,J107&gt;=3800,0.0806*J107,J107&gt;=3300,0.0706*J107,J107&gt;=2500,0.0676*J107,TRUE,0.02*J107)+10)*H107</f>
        <v>224047.74150400001</v>
      </c>
    </row>
    <row r="108" spans="1:14" x14ac:dyDescent="0.15">
      <c r="A108">
        <v>2</v>
      </c>
      <c r="B108" t="s">
        <v>222</v>
      </c>
      <c r="C108" t="s">
        <v>224</v>
      </c>
      <c r="D108" t="s">
        <v>10</v>
      </c>
      <c r="E108" t="s">
        <v>223</v>
      </c>
      <c r="F108" t="s">
        <v>12</v>
      </c>
      <c r="G108">
        <v>1576</v>
      </c>
      <c r="H108">
        <v>29093.82</v>
      </c>
      <c r="J108">
        <v>3303</v>
      </c>
      <c r="L108">
        <f>VLOOKUP(D108,运费!B:C,2,0)</f>
        <v>147.1</v>
      </c>
      <c r="M108" s="8">
        <f t="shared" si="1"/>
        <v>4279700.9220000003</v>
      </c>
      <c r="N108" s="8" cm="1">
        <f t="array" ref="N108">(_xlfn.IFS(J108&gt;=4300,570/550*J108,J108&gt;=3800,0.0806*J108,J108&gt;=3300,0.0706*J108,J108&gt;=2500,0.0676*J108,TRUE,0.02*J108)+10)*H108</f>
        <v>7075378.4546760004</v>
      </c>
    </row>
    <row r="109" spans="1:14" x14ac:dyDescent="0.15">
      <c r="A109">
        <v>3</v>
      </c>
      <c r="B109" t="s">
        <v>222</v>
      </c>
      <c r="C109" t="s">
        <v>225</v>
      </c>
      <c r="D109" t="s">
        <v>226</v>
      </c>
      <c r="E109" t="s">
        <v>227</v>
      </c>
      <c r="F109" t="s">
        <v>12</v>
      </c>
      <c r="G109">
        <v>96</v>
      </c>
      <c r="H109">
        <v>2973.16</v>
      </c>
      <c r="J109">
        <v>5578</v>
      </c>
      <c r="L109">
        <f>VLOOKUP(D109,运费!B:C,2,0)</f>
        <v>78</v>
      </c>
      <c r="M109" s="8">
        <f t="shared" si="1"/>
        <v>231906.47999999998</v>
      </c>
      <c r="N109" s="8" cm="1">
        <f t="array" ref="N109">(_xlfn.IFS(J109&gt;=4300,570/550*J109,J109&gt;=3800,0.0806*J109,J109&gt;=3300,0.0706*J109,J109&gt;=2500,0.0676*J109,TRUE,0.02*J109)+10)*H109</f>
        <v>17217083.042909089</v>
      </c>
    </row>
    <row r="110" spans="1:14" x14ac:dyDescent="0.15">
      <c r="A110">
        <v>4</v>
      </c>
      <c r="B110" t="s">
        <v>222</v>
      </c>
      <c r="C110" t="s">
        <v>228</v>
      </c>
      <c r="D110" t="s">
        <v>33</v>
      </c>
      <c r="E110" t="s">
        <v>229</v>
      </c>
      <c r="F110" t="s">
        <v>12</v>
      </c>
      <c r="G110">
        <v>256</v>
      </c>
      <c r="H110">
        <v>8194.06</v>
      </c>
      <c r="J110">
        <v>3155</v>
      </c>
      <c r="L110">
        <f>VLOOKUP(D110,运费!B:C,2,0)</f>
        <v>58</v>
      </c>
      <c r="M110" s="8">
        <f t="shared" si="1"/>
        <v>475255.48</v>
      </c>
      <c r="N110" s="8" cm="1">
        <f t="array" ref="N110">(_xlfn.IFS(J110&gt;=4300,570/550*J110,J110&gt;=3800,0.0806*J110,J110&gt;=3300,0.0706*J110,J110&gt;=2500,0.0676*J110,TRUE,0.02*J110)+10)*H110</f>
        <v>1829553.3286799998</v>
      </c>
    </row>
    <row r="111" spans="1:14" x14ac:dyDescent="0.15">
      <c r="A111">
        <v>5</v>
      </c>
      <c r="B111" t="s">
        <v>222</v>
      </c>
      <c r="C111" t="s">
        <v>230</v>
      </c>
      <c r="D111" t="s">
        <v>147</v>
      </c>
      <c r="E111" t="s">
        <v>231</v>
      </c>
      <c r="F111" t="s">
        <v>45</v>
      </c>
      <c r="G111">
        <v>63</v>
      </c>
      <c r="H111">
        <v>1964.32</v>
      </c>
      <c r="J111">
        <v>3458</v>
      </c>
      <c r="L111">
        <f>VLOOKUP(D111,运费!B:C,2,0)</f>
        <v>70</v>
      </c>
      <c r="M111" s="8">
        <f t="shared" si="1"/>
        <v>137502.39999999999</v>
      </c>
      <c r="N111" s="8" cm="1">
        <f t="array" ref="N111">(_xlfn.IFS(J111&gt;=4300,570/550*J111,J111&gt;=3800,0.0806*J111,J111&gt;=3300,0.0706*J111,J111&gt;=2500,0.0676*J111,TRUE,0.02*J111)+10)*H111</f>
        <v>499202.07033599995</v>
      </c>
    </row>
    <row r="112" spans="1:14" x14ac:dyDescent="0.15">
      <c r="A112">
        <v>6</v>
      </c>
      <c r="B112" t="s">
        <v>222</v>
      </c>
      <c r="C112" t="s">
        <v>232</v>
      </c>
      <c r="D112" t="s">
        <v>207</v>
      </c>
      <c r="E112" t="s">
        <v>233</v>
      </c>
      <c r="F112" t="s">
        <v>45</v>
      </c>
      <c r="G112">
        <v>80</v>
      </c>
      <c r="H112">
        <v>2473.02</v>
      </c>
      <c r="J112">
        <v>4182</v>
      </c>
      <c r="L112">
        <f>VLOOKUP(D112,运费!B:C,2,0)</f>
        <v>113</v>
      </c>
      <c r="M112" s="8">
        <f t="shared" si="1"/>
        <v>279451.26</v>
      </c>
      <c r="N112" s="8" cm="1">
        <f t="array" ref="N112">(_xlfn.IFS(J112&gt;=4300,570/550*J112,J112&gt;=3800,0.0806*J112,J112&gt;=3300,0.0706*J112,J112&gt;=2500,0.0676*J112,TRUE,0.02*J112)+10)*H112</f>
        <v>858309.07298400009</v>
      </c>
    </row>
    <row r="113" spans="1:14" x14ac:dyDescent="0.15">
      <c r="A113">
        <v>7</v>
      </c>
      <c r="B113" t="s">
        <v>222</v>
      </c>
      <c r="C113" t="s">
        <v>234</v>
      </c>
      <c r="D113" t="s">
        <v>212</v>
      </c>
      <c r="E113" t="s">
        <v>235</v>
      </c>
      <c r="F113" t="s">
        <v>45</v>
      </c>
      <c r="G113">
        <v>47</v>
      </c>
      <c r="H113">
        <v>1473.02</v>
      </c>
      <c r="J113">
        <v>4430</v>
      </c>
      <c r="L113">
        <f>VLOOKUP(D113,运费!B:C,2,0)</f>
        <v>108</v>
      </c>
      <c r="M113" s="8">
        <f t="shared" si="1"/>
        <v>159086.16</v>
      </c>
      <c r="N113" s="8" cm="1">
        <f t="array" ref="N113">(_xlfn.IFS(J113&gt;=4300,570/550*J113,J113&gt;=3800,0.0806*J113,J113&gt;=3300,0.0706*J113,J113&gt;=2500,0.0676*J113,TRUE,0.02*J113)+10)*H113</f>
        <v>6777498.9309090907</v>
      </c>
    </row>
    <row r="114" spans="1:14" x14ac:dyDescent="0.15">
      <c r="A114">
        <v>8</v>
      </c>
      <c r="B114" t="s">
        <v>222</v>
      </c>
      <c r="C114" t="s">
        <v>236</v>
      </c>
      <c r="D114" t="s">
        <v>119</v>
      </c>
      <c r="E114" t="s">
        <v>237</v>
      </c>
      <c r="F114" t="s">
        <v>12</v>
      </c>
      <c r="G114">
        <v>217</v>
      </c>
      <c r="H114">
        <v>7000.48</v>
      </c>
      <c r="J114">
        <v>5161</v>
      </c>
      <c r="L114">
        <f>VLOOKUP(D114,运费!B:C,2,0)</f>
        <v>105</v>
      </c>
      <c r="M114" s="8">
        <f t="shared" si="1"/>
        <v>735050.39999999991</v>
      </c>
      <c r="N114" s="8" cm="1">
        <f t="array" ref="N114">(_xlfn.IFS(J114&gt;=4300,570/550*J114,J114&gt;=3800,0.0806*J114,J114&gt;=3300,0.0706*J114,J114&gt;=2500,0.0676*J114,TRUE,0.02*J114)+10)*H114</f>
        <v>37513281.253818184</v>
      </c>
    </row>
    <row r="115" spans="1:14" x14ac:dyDescent="0.15">
      <c r="A115">
        <v>9</v>
      </c>
      <c r="B115" t="s">
        <v>222</v>
      </c>
      <c r="C115" t="s">
        <v>238</v>
      </c>
      <c r="D115" t="s">
        <v>69</v>
      </c>
      <c r="E115" t="s">
        <v>239</v>
      </c>
      <c r="F115" t="s">
        <v>12</v>
      </c>
      <c r="G115">
        <v>25</v>
      </c>
      <c r="H115">
        <v>794.42</v>
      </c>
      <c r="J115">
        <v>4515</v>
      </c>
      <c r="L115">
        <f>VLOOKUP(D115,运费!B:C,2,0)</f>
        <v>104.5</v>
      </c>
      <c r="M115" s="8">
        <f t="shared" si="1"/>
        <v>83016.89</v>
      </c>
      <c r="N115" s="8" cm="1">
        <f t="array" ref="N115">(_xlfn.IFS(J115&gt;=4300,570/550*J115,J115&gt;=3800,0.0806*J115,J115&gt;=3300,0.0706*J115,J115&gt;=2500,0.0676*J115,TRUE,0.02*J115)+10)*H115</f>
        <v>3725179.82</v>
      </c>
    </row>
    <row r="116" spans="1:14" x14ac:dyDescent="0.15">
      <c r="A116">
        <v>10</v>
      </c>
      <c r="B116" t="s">
        <v>222</v>
      </c>
      <c r="C116" t="s">
        <v>240</v>
      </c>
      <c r="D116" t="s">
        <v>160</v>
      </c>
      <c r="E116" t="s">
        <v>241</v>
      </c>
      <c r="F116" t="s">
        <v>12</v>
      </c>
      <c r="G116">
        <v>921</v>
      </c>
      <c r="H116">
        <v>29658.560000000001</v>
      </c>
      <c r="J116">
        <v>3192</v>
      </c>
      <c r="L116">
        <f>VLOOKUP(D116,运费!B:C,2,0)</f>
        <v>82</v>
      </c>
      <c r="M116" s="8">
        <f t="shared" si="1"/>
        <v>2432001.92</v>
      </c>
      <c r="N116" s="8" cm="1">
        <f t="array" ref="N116">(_xlfn.IFS(J116&gt;=4300,570/550*J116,J116&gt;=3800,0.0806*J116,J116&gt;=3300,0.0706*J116,J116&gt;=2500,0.0676*J116,TRUE,0.02*J116)+10)*H116</f>
        <v>6696285.9499519998</v>
      </c>
    </row>
    <row r="117" spans="1:14" x14ac:dyDescent="0.15">
      <c r="A117">
        <v>11</v>
      </c>
      <c r="B117" t="s">
        <v>222</v>
      </c>
      <c r="C117" t="s">
        <v>219</v>
      </c>
      <c r="D117" t="s">
        <v>89</v>
      </c>
      <c r="E117" t="s">
        <v>242</v>
      </c>
      <c r="F117" t="s">
        <v>12</v>
      </c>
      <c r="G117">
        <v>827</v>
      </c>
      <c r="H117">
        <v>15260.78</v>
      </c>
      <c r="J117">
        <v>5206</v>
      </c>
      <c r="L117">
        <f>VLOOKUP(D117,运费!B:C,2,0)</f>
        <v>108.51</v>
      </c>
      <c r="M117" s="8">
        <f t="shared" si="1"/>
        <v>1655947.2378000002</v>
      </c>
      <c r="N117" s="8" cm="1">
        <f t="array" ref="N117">(_xlfn.IFS(J117&gt;=4300,570/550*J117,J117&gt;=3800,0.0806*J117,J117&gt;=3300,0.0706*J117,J117&gt;=2500,0.0676*J117,TRUE,0.02*J117)+10)*H117</f>
        <v>82489232.868363634</v>
      </c>
    </row>
    <row r="118" spans="1:14" x14ac:dyDescent="0.15">
      <c r="A118">
        <v>12</v>
      </c>
      <c r="B118" t="s">
        <v>222</v>
      </c>
      <c r="C118" t="s">
        <v>243</v>
      </c>
      <c r="D118" t="s">
        <v>89</v>
      </c>
      <c r="E118" t="s">
        <v>242</v>
      </c>
      <c r="F118" t="s">
        <v>12</v>
      </c>
      <c r="G118">
        <v>547</v>
      </c>
      <c r="H118">
        <v>9942.9</v>
      </c>
      <c r="J118">
        <v>5206</v>
      </c>
      <c r="L118">
        <f>VLOOKUP(D118,运费!B:C,2,0)</f>
        <v>108.51</v>
      </c>
      <c r="M118" s="8">
        <f t="shared" si="1"/>
        <v>1078904.0789999999</v>
      </c>
      <c r="N118" s="8" cm="1">
        <f t="array" ref="N118">(_xlfn.IFS(J118&gt;=4300,570/550*J118,J118&gt;=3800,0.0806*J118,J118&gt;=3300,0.0706*J118,J118&gt;=2500,0.0676*J118,TRUE,0.02*J118)+10)*H118</f>
        <v>53744447.759999998</v>
      </c>
    </row>
    <row r="119" spans="1:14" x14ac:dyDescent="0.15">
      <c r="A119">
        <v>13</v>
      </c>
      <c r="B119" t="s">
        <v>222</v>
      </c>
      <c r="C119" t="s">
        <v>244</v>
      </c>
      <c r="D119" t="s">
        <v>96</v>
      </c>
      <c r="E119" t="s">
        <v>245</v>
      </c>
      <c r="F119" t="s">
        <v>12</v>
      </c>
      <c r="G119">
        <v>386</v>
      </c>
      <c r="H119">
        <v>12305.06</v>
      </c>
      <c r="J119">
        <v>3727</v>
      </c>
      <c r="L119">
        <f>VLOOKUP(D119,运费!B:C,2,0)</f>
        <v>60.5</v>
      </c>
      <c r="M119" s="8">
        <f t="shared" si="1"/>
        <v>744456.13</v>
      </c>
      <c r="N119" s="8" cm="1">
        <f t="array" ref="N119">(_xlfn.IFS(J119&gt;=4300,570/550*J119,J119&gt;=3800,0.0806*J119,J119&gt;=3300,0.0706*J119,J119&gt;=2500,0.0676*J119,TRUE,0.02*J119)+10)*H119</f>
        <v>3360834.2785719996</v>
      </c>
    </row>
    <row r="120" spans="1:14" x14ac:dyDescent="0.15">
      <c r="A120">
        <v>1</v>
      </c>
      <c r="B120" t="s">
        <v>246</v>
      </c>
      <c r="C120" t="s">
        <v>247</v>
      </c>
      <c r="D120" t="s">
        <v>10</v>
      </c>
      <c r="E120" t="s">
        <v>248</v>
      </c>
      <c r="F120" t="s">
        <v>12</v>
      </c>
      <c r="G120">
        <v>1712</v>
      </c>
      <c r="H120">
        <v>32187.64</v>
      </c>
      <c r="J120">
        <v>3091</v>
      </c>
      <c r="L120">
        <f>VLOOKUP(D120,运费!B:C,2,0)</f>
        <v>147.1</v>
      </c>
      <c r="M120" s="8">
        <f t="shared" si="1"/>
        <v>4734801.8439999996</v>
      </c>
      <c r="N120" s="8" cm="1">
        <f t="array" ref="N120">(_xlfn.IFS(J120&gt;=4300,570/550*J120,J120&gt;=3800,0.0806*J120,J120&gt;=3300,0.0706*J120,J120&gt;=2500,0.0676*J120,TRUE,0.02*J120)+10)*H120</f>
        <v>7047535.2782239998</v>
      </c>
    </row>
    <row r="121" spans="1:14" x14ac:dyDescent="0.15">
      <c r="A121">
        <v>2</v>
      </c>
      <c r="B121" t="s">
        <v>246</v>
      </c>
      <c r="C121" t="s">
        <v>225</v>
      </c>
      <c r="D121" t="s">
        <v>226</v>
      </c>
      <c r="E121" t="s">
        <v>249</v>
      </c>
      <c r="F121" t="s">
        <v>12</v>
      </c>
      <c r="G121">
        <v>4</v>
      </c>
      <c r="H121">
        <v>126.12</v>
      </c>
      <c r="J121">
        <v>5724</v>
      </c>
      <c r="L121">
        <f>VLOOKUP(D121,运费!B:C,2,0)</f>
        <v>78</v>
      </c>
      <c r="M121" s="8">
        <f t="shared" si="1"/>
        <v>9837.36</v>
      </c>
      <c r="N121" s="8" cm="1">
        <f t="array" ref="N121">(_xlfn.IFS(J121&gt;=4300,570/550*J121,J121&gt;=3800,0.0806*J121,J121&gt;=3300,0.0706*J121,J121&gt;=2500,0.0676*J121,TRUE,0.02*J121)+10)*H121</f>
        <v>749423.38472727279</v>
      </c>
    </row>
    <row r="122" spans="1:14" x14ac:dyDescent="0.15">
      <c r="A122">
        <v>3</v>
      </c>
      <c r="B122" t="s">
        <v>246</v>
      </c>
      <c r="C122" t="s">
        <v>250</v>
      </c>
      <c r="D122" t="s">
        <v>226</v>
      </c>
      <c r="E122" t="s">
        <v>249</v>
      </c>
      <c r="F122" t="s">
        <v>12</v>
      </c>
      <c r="G122">
        <v>132</v>
      </c>
      <c r="H122">
        <v>4158.5600000000004</v>
      </c>
      <c r="J122">
        <v>5724</v>
      </c>
      <c r="L122">
        <f>VLOOKUP(D122,运费!B:C,2,0)</f>
        <v>78</v>
      </c>
      <c r="M122" s="8">
        <f t="shared" si="1"/>
        <v>324367.68000000005</v>
      </c>
      <c r="N122" s="8" cm="1">
        <f t="array" ref="N122">(_xlfn.IFS(J122&gt;=4300,570/550*J122,J122&gt;=3800,0.0806*J122,J122&gt;=3300,0.0706*J122,J122&gt;=2500,0.0676*J122,TRUE,0.02*J122)+10)*H122</f>
        <v>24710768.401454546</v>
      </c>
    </row>
    <row r="123" spans="1:14" x14ac:dyDescent="0.15">
      <c r="A123">
        <v>4</v>
      </c>
      <c r="B123" t="s">
        <v>246</v>
      </c>
      <c r="C123" t="s">
        <v>251</v>
      </c>
      <c r="D123" t="s">
        <v>27</v>
      </c>
      <c r="E123" t="s">
        <v>252</v>
      </c>
      <c r="F123" t="s">
        <v>12</v>
      </c>
      <c r="G123">
        <v>314</v>
      </c>
      <c r="H123">
        <v>10000.94</v>
      </c>
      <c r="J123">
        <v>4905</v>
      </c>
      <c r="L123">
        <f>VLOOKUP(D123,运费!B:C,2,0)</f>
        <v>104.5</v>
      </c>
      <c r="M123" s="8">
        <f t="shared" si="1"/>
        <v>1045098.2300000001</v>
      </c>
      <c r="N123" s="8" cm="1">
        <f t="array" ref="N123">(_xlfn.IFS(J123&gt;=4300,570/550*J123,J123&gt;=3800,0.0806*J123,J123&gt;=3300,0.0706*J123,J123&gt;=2500,0.0676*J123,TRUE,0.02*J123)+10)*H123</f>
        <v>50938424.125454545</v>
      </c>
    </row>
    <row r="124" spans="1:14" x14ac:dyDescent="0.15">
      <c r="A124">
        <v>5</v>
      </c>
      <c r="B124" t="s">
        <v>246</v>
      </c>
      <c r="C124" t="s">
        <v>253</v>
      </c>
      <c r="D124" t="s">
        <v>147</v>
      </c>
      <c r="E124" t="s">
        <v>254</v>
      </c>
      <c r="F124" t="s">
        <v>45</v>
      </c>
      <c r="G124">
        <v>63</v>
      </c>
      <c r="H124">
        <v>1990.62</v>
      </c>
      <c r="J124">
        <v>3477</v>
      </c>
      <c r="L124">
        <f>VLOOKUP(D124,运费!B:C,2,0)</f>
        <v>70</v>
      </c>
      <c r="M124" s="8">
        <f t="shared" si="1"/>
        <v>139343.4</v>
      </c>
      <c r="N124" s="8" cm="1">
        <f t="array" ref="N124">(_xlfn.IFS(J124&gt;=4300,570/550*J124,J124&gt;=3800,0.0806*J124,J124&gt;=3300,0.0706*J124,J124&gt;=2500,0.0676*J124,TRUE,0.02*J124)+10)*H124</f>
        <v>508556.03324399993</v>
      </c>
    </row>
    <row r="125" spans="1:14" x14ac:dyDescent="0.15">
      <c r="A125">
        <v>6</v>
      </c>
      <c r="B125" t="s">
        <v>246</v>
      </c>
      <c r="C125" t="s">
        <v>255</v>
      </c>
      <c r="D125" t="s">
        <v>207</v>
      </c>
      <c r="E125" t="s">
        <v>256</v>
      </c>
      <c r="F125" t="s">
        <v>45</v>
      </c>
      <c r="G125">
        <v>7</v>
      </c>
      <c r="H125">
        <v>214.68</v>
      </c>
      <c r="J125">
        <v>3958</v>
      </c>
      <c r="L125">
        <f>VLOOKUP(D125,运费!B:C,2,0)</f>
        <v>113</v>
      </c>
      <c r="M125" s="8">
        <f t="shared" si="1"/>
        <v>24258.84</v>
      </c>
      <c r="N125" s="8" cm="1">
        <f t="array" ref="N125">(_xlfn.IFS(J125&gt;=4300,570/550*J125,J125&gt;=3800,0.0806*J125,J125&gt;=3300,0.0706*J125,J125&gt;=2500,0.0676*J125,TRUE,0.02*J125)+10)*H125</f>
        <v>70632.897264000014</v>
      </c>
    </row>
    <row r="126" spans="1:14" x14ac:dyDescent="0.15">
      <c r="A126">
        <v>7</v>
      </c>
      <c r="B126" t="s">
        <v>246</v>
      </c>
      <c r="C126" t="s">
        <v>257</v>
      </c>
      <c r="D126" t="s">
        <v>56</v>
      </c>
      <c r="E126" t="s">
        <v>258</v>
      </c>
      <c r="F126" t="s">
        <v>12</v>
      </c>
      <c r="G126">
        <v>93</v>
      </c>
      <c r="H126">
        <v>2984.52</v>
      </c>
      <c r="J126">
        <v>4077</v>
      </c>
      <c r="L126">
        <f>VLOOKUP(D126,运费!B:C,2,0)</f>
        <v>67</v>
      </c>
      <c r="M126" s="8">
        <f t="shared" si="1"/>
        <v>199962.84</v>
      </c>
      <c r="N126" s="8" cm="1">
        <f t="array" ref="N126">(_xlfn.IFS(J126&gt;=4300,570/550*J126,J126&gt;=3800,0.0806*J126,J126&gt;=3300,0.0706*J126,J126&gt;=2500,0.0676*J126,TRUE,0.02*J126)+10)*H126</f>
        <v>1010576.976024</v>
      </c>
    </row>
    <row r="127" spans="1:14" x14ac:dyDescent="0.15">
      <c r="A127">
        <v>8</v>
      </c>
      <c r="B127" t="s">
        <v>246</v>
      </c>
      <c r="C127" t="s">
        <v>259</v>
      </c>
      <c r="D127" t="s">
        <v>119</v>
      </c>
      <c r="E127" t="s">
        <v>260</v>
      </c>
      <c r="F127" t="s">
        <v>12</v>
      </c>
      <c r="G127">
        <v>100</v>
      </c>
      <c r="H127">
        <v>3331.46</v>
      </c>
      <c r="J127">
        <v>5153</v>
      </c>
      <c r="L127">
        <f>VLOOKUP(D127,运费!B:C,2,0)</f>
        <v>105</v>
      </c>
      <c r="M127" s="8">
        <f t="shared" si="1"/>
        <v>349803.3</v>
      </c>
      <c r="N127" s="8" cm="1">
        <f t="array" ref="N127">(_xlfn.IFS(J127&gt;=4300,570/550*J127,J127&gt;=3800,0.0806*J127,J127&gt;=3300,0.0706*J127,J127&gt;=2500,0.0676*J127,TRUE,0.02*J127)+10)*H127</f>
        <v>17824583.011999998</v>
      </c>
    </row>
    <row r="128" spans="1:14" x14ac:dyDescent="0.15">
      <c r="A128">
        <v>9</v>
      </c>
      <c r="B128" t="s">
        <v>246</v>
      </c>
      <c r="C128" t="s">
        <v>261</v>
      </c>
      <c r="D128" t="s">
        <v>69</v>
      </c>
      <c r="E128" t="s">
        <v>262</v>
      </c>
      <c r="F128" t="s">
        <v>12</v>
      </c>
      <c r="G128">
        <v>123</v>
      </c>
      <c r="H128">
        <v>3978.18</v>
      </c>
      <c r="J128">
        <v>4762</v>
      </c>
      <c r="L128">
        <f>VLOOKUP(D128,运费!B:C,2,0)</f>
        <v>104.5</v>
      </c>
      <c r="M128" s="8">
        <f t="shared" si="1"/>
        <v>415719.81</v>
      </c>
      <c r="N128" s="8" cm="1">
        <f t="array" ref="N128">(_xlfn.IFS(J128&gt;=4300,570/550*J128,J128&gt;=3800,0.0806*J128,J128&gt;=3300,0.0706*J128,J128&gt;=2500,0.0676*J128,TRUE,0.02*J128)+10)*H128</f>
        <v>19672751.074909091</v>
      </c>
    </row>
    <row r="129" spans="1:14" x14ac:dyDescent="0.15">
      <c r="A129">
        <v>10</v>
      </c>
      <c r="B129" t="s">
        <v>246</v>
      </c>
      <c r="C129" t="s">
        <v>263</v>
      </c>
      <c r="D129" t="s">
        <v>264</v>
      </c>
      <c r="E129" t="s">
        <v>265</v>
      </c>
      <c r="F129" t="s">
        <v>12</v>
      </c>
      <c r="G129">
        <v>53</v>
      </c>
      <c r="H129">
        <v>1680.84</v>
      </c>
      <c r="J129">
        <v>5401</v>
      </c>
      <c r="L129">
        <f>VLOOKUP(D129,运费!B:C,2,0)</f>
        <v>114.09</v>
      </c>
      <c r="M129" s="8">
        <f t="shared" si="1"/>
        <v>191767.0356</v>
      </c>
      <c r="N129" s="8" cm="1">
        <f t="array" ref="N129">(_xlfn.IFS(J129&gt;=4300,570/550*J129,J129&gt;=3800,0.0806*J129,J129&gt;=3300,0.0706*J129,J129&gt;=2500,0.0676*J129,TRUE,0.02*J129)+10)*H129</f>
        <v>9425142.2159999982</v>
      </c>
    </row>
    <row r="130" spans="1:14" x14ac:dyDescent="0.15">
      <c r="A130">
        <v>11</v>
      </c>
      <c r="B130" t="s">
        <v>246</v>
      </c>
      <c r="C130" t="s">
        <v>266</v>
      </c>
      <c r="D130" t="s">
        <v>160</v>
      </c>
      <c r="E130" t="s">
        <v>267</v>
      </c>
      <c r="F130" t="s">
        <v>12</v>
      </c>
      <c r="G130">
        <v>562</v>
      </c>
      <c r="H130">
        <v>18230.740000000002</v>
      </c>
      <c r="J130">
        <v>2465</v>
      </c>
      <c r="L130">
        <f>VLOOKUP(D130,运费!B:C,2,0)</f>
        <v>82</v>
      </c>
      <c r="M130" s="8">
        <f t="shared" si="1"/>
        <v>1494920.6800000002</v>
      </c>
      <c r="N130" s="8" cm="1">
        <f t="array" ref="N130">(_xlfn.IFS(J130&gt;=4300,570/550*J130,J130&gt;=3800,0.0806*J130,J130&gt;=3300,0.0706*J130,J130&gt;=2500,0.0676*J130,TRUE,0.02*J130)+10)*H130</f>
        <v>1081082.8820000002</v>
      </c>
    </row>
    <row r="131" spans="1:14" x14ac:dyDescent="0.15">
      <c r="A131">
        <v>12</v>
      </c>
      <c r="B131" t="s">
        <v>246</v>
      </c>
      <c r="C131" t="s">
        <v>243</v>
      </c>
      <c r="D131" t="s">
        <v>89</v>
      </c>
      <c r="E131" t="s">
        <v>268</v>
      </c>
      <c r="F131" t="s">
        <v>12</v>
      </c>
      <c r="G131">
        <v>815</v>
      </c>
      <c r="H131">
        <v>14921.02</v>
      </c>
      <c r="J131">
        <v>4725</v>
      </c>
      <c r="L131">
        <f>VLOOKUP(D131,运费!B:C,2,0)</f>
        <v>108.51</v>
      </c>
      <c r="M131" s="8">
        <f t="shared" ref="M131:M162" si="2">H131*L131</f>
        <v>1619079.8802</v>
      </c>
      <c r="N131" s="8" cm="1">
        <f t="array" ref="N131">(_xlfn.IFS(J131&gt;=4300,570/550*J131,J131&gt;=3800,0.0806*J131,J131&gt;=3300,0.0706*J131,J131&gt;=2500,0.0676*J131,TRUE,0.02*J131)+10)*H131</f>
        <v>73214732.227272734</v>
      </c>
    </row>
    <row r="132" spans="1:14" x14ac:dyDescent="0.15">
      <c r="A132">
        <v>13</v>
      </c>
      <c r="B132" t="s">
        <v>246</v>
      </c>
      <c r="C132" t="s">
        <v>269</v>
      </c>
      <c r="D132" t="s">
        <v>96</v>
      </c>
      <c r="E132" t="s">
        <v>270</v>
      </c>
      <c r="F132" t="s">
        <v>12</v>
      </c>
      <c r="G132">
        <v>972</v>
      </c>
      <c r="H132">
        <v>31255.56</v>
      </c>
      <c r="J132">
        <v>2158</v>
      </c>
      <c r="L132">
        <f>VLOOKUP(D132,运费!B:C,2,0)</f>
        <v>60.5</v>
      </c>
      <c r="M132" s="8">
        <f t="shared" si="2"/>
        <v>1890961.3800000001</v>
      </c>
      <c r="N132" s="8" cm="1">
        <f t="array" ref="N132">(_xlfn.IFS(J132&gt;=4300,570/550*J132,J132&gt;=3800,0.0806*J132,J132&gt;=3300,0.0706*J132,J132&gt;=2500,0.0676*J132,TRUE,0.02*J132)+10)*H132</f>
        <v>1661545.5696000003</v>
      </c>
    </row>
    <row r="133" spans="1:14" x14ac:dyDescent="0.15">
      <c r="A133">
        <v>1</v>
      </c>
      <c r="B133" t="s">
        <v>271</v>
      </c>
      <c r="C133" t="s">
        <v>247</v>
      </c>
      <c r="D133" t="s">
        <v>10</v>
      </c>
      <c r="E133" t="s">
        <v>272</v>
      </c>
      <c r="F133" t="s">
        <v>12</v>
      </c>
      <c r="G133">
        <v>68</v>
      </c>
      <c r="H133">
        <v>1975.5</v>
      </c>
      <c r="J133">
        <v>3462</v>
      </c>
      <c r="L133">
        <f>VLOOKUP(D133,运费!B:C,2,0)</f>
        <v>147.1</v>
      </c>
      <c r="M133" s="8">
        <f t="shared" si="2"/>
        <v>290596.05</v>
      </c>
      <c r="N133" s="8" cm="1">
        <f t="array" ref="N133">(_xlfn.IFS(J133&gt;=4300,570/550*J133,J133&gt;=3800,0.0806*J133,J133&gt;=3300,0.0706*J133,J133&gt;=2500,0.0676*J133,TRUE,0.02*J133)+10)*H133</f>
        <v>502601.17859999998</v>
      </c>
    </row>
    <row r="134" spans="1:14" x14ac:dyDescent="0.15">
      <c r="A134">
        <v>2</v>
      </c>
      <c r="B134" t="s">
        <v>271</v>
      </c>
      <c r="C134" t="s">
        <v>273</v>
      </c>
      <c r="D134" t="s">
        <v>10</v>
      </c>
      <c r="E134" t="s">
        <v>272</v>
      </c>
      <c r="F134" t="s">
        <v>12</v>
      </c>
      <c r="G134">
        <v>316</v>
      </c>
      <c r="H134">
        <v>9174.1</v>
      </c>
      <c r="J134">
        <v>3462</v>
      </c>
      <c r="L134">
        <f>VLOOKUP(D134,运费!B:C,2,0)</f>
        <v>147.1</v>
      </c>
      <c r="M134" s="8">
        <f t="shared" si="2"/>
        <v>1349510.11</v>
      </c>
      <c r="N134" s="8" cm="1">
        <f t="array" ref="N134">(_xlfn.IFS(J134&gt;=4300,570/550*J134,J134&gt;=3800,0.0806*J134,J134&gt;=3300,0.0706*J134,J134&gt;=2500,0.0676*J134,TRUE,0.02*J134)+10)*H134</f>
        <v>2334048.83452</v>
      </c>
    </row>
    <row r="135" spans="1:14" x14ac:dyDescent="0.15">
      <c r="A135">
        <v>3</v>
      </c>
      <c r="B135" t="s">
        <v>271</v>
      </c>
      <c r="C135" t="s">
        <v>274</v>
      </c>
      <c r="D135" t="s">
        <v>275</v>
      </c>
      <c r="E135" t="s">
        <v>276</v>
      </c>
      <c r="F135" t="s">
        <v>12</v>
      </c>
      <c r="G135">
        <v>124</v>
      </c>
      <c r="H135">
        <v>3611.38</v>
      </c>
      <c r="J135">
        <v>4698</v>
      </c>
      <c r="L135">
        <f>VLOOKUP(D135,运费!B:C,2,0)</f>
        <v>143.91999999999999</v>
      </c>
      <c r="M135" s="8">
        <f t="shared" si="2"/>
        <v>519749.80959999998</v>
      </c>
      <c r="N135" s="8" cm="1">
        <f t="array" ref="N135">(_xlfn.IFS(J135&gt;=4300,570/550*J135,J135&gt;=3800,0.0806*J135,J135&gt;=3300,0.0706*J135,J135&gt;=2500,0.0676*J135,TRUE,0.02*J135)+10)*H135</f>
        <v>17619332.066909093</v>
      </c>
    </row>
    <row r="136" spans="1:14" x14ac:dyDescent="0.15">
      <c r="A136">
        <v>4</v>
      </c>
      <c r="B136" t="s">
        <v>271</v>
      </c>
      <c r="C136" t="s">
        <v>277</v>
      </c>
      <c r="D136" t="s">
        <v>226</v>
      </c>
      <c r="E136" t="s">
        <v>278</v>
      </c>
      <c r="F136" t="s">
        <v>12</v>
      </c>
      <c r="G136">
        <v>134</v>
      </c>
      <c r="H136">
        <v>4156.74</v>
      </c>
      <c r="J136">
        <v>5681</v>
      </c>
      <c r="L136">
        <f>VLOOKUP(D136,运费!B:C,2,0)</f>
        <v>78</v>
      </c>
      <c r="M136" s="8">
        <f t="shared" si="2"/>
        <v>324225.71999999997</v>
      </c>
      <c r="N136" s="8" cm="1">
        <f t="array" ref="N136">(_xlfn.IFS(J136&gt;=4300,570/550*J136,J136&gt;=3800,0.0806*J136,J136&gt;=3300,0.0706*J136,J136&gt;=2500,0.0676*J136,TRUE,0.02*J136)+10)*H136</f>
        <v>24514714.246909089</v>
      </c>
    </row>
    <row r="137" spans="1:14" x14ac:dyDescent="0.15">
      <c r="A137">
        <v>5</v>
      </c>
      <c r="B137" t="s">
        <v>271</v>
      </c>
      <c r="C137" t="s">
        <v>251</v>
      </c>
      <c r="D137" t="s">
        <v>27</v>
      </c>
      <c r="E137" t="s">
        <v>279</v>
      </c>
      <c r="F137" t="s">
        <v>12</v>
      </c>
      <c r="G137">
        <v>1</v>
      </c>
      <c r="H137">
        <v>30.92</v>
      </c>
      <c r="J137" t="e">
        <v>#N/A</v>
      </c>
      <c r="L137">
        <f>VLOOKUP(D137,运费!B:C,2,0)</f>
        <v>104.5</v>
      </c>
      <c r="M137" s="8">
        <f t="shared" si="2"/>
        <v>3231.1400000000003</v>
      </c>
      <c r="N137" s="8" t="e" cm="1">
        <f t="array" ref="N137">(_xlfn.IFS(J137&gt;=4300,570/550*J137,J137&gt;=3800,0.0806*J137,J137&gt;=3300,0.0706*J137,J137&gt;=2500,0.0676*J137,TRUE,0.02*J137)+10)*H137</f>
        <v>#N/A</v>
      </c>
    </row>
    <row r="138" spans="1:14" x14ac:dyDescent="0.15">
      <c r="A138">
        <v>6</v>
      </c>
      <c r="B138" t="s">
        <v>271</v>
      </c>
      <c r="C138" t="s">
        <v>280</v>
      </c>
      <c r="D138" t="s">
        <v>33</v>
      </c>
      <c r="E138" t="s">
        <v>281</v>
      </c>
      <c r="F138" t="s">
        <v>12</v>
      </c>
      <c r="G138">
        <v>555</v>
      </c>
      <c r="H138">
        <v>17876.7</v>
      </c>
      <c r="J138">
        <v>4577</v>
      </c>
      <c r="L138">
        <f>VLOOKUP(D138,运费!B:C,2,0)</f>
        <v>58</v>
      </c>
      <c r="M138" s="8">
        <f t="shared" si="2"/>
        <v>1036848.6000000001</v>
      </c>
      <c r="N138" s="8" cm="1">
        <f t="array" ref="N138">(_xlfn.IFS(J138&gt;=4300,570/550*J138,J138&gt;=3800,0.0806*J138,J138&gt;=3300,0.0706*J138,J138&gt;=2500,0.0676*J138,TRUE,0.02*J138)+10)*H138</f>
        <v>84975755.841818184</v>
      </c>
    </row>
    <row r="139" spans="1:14" x14ac:dyDescent="0.15">
      <c r="A139">
        <v>7</v>
      </c>
      <c r="B139" t="s">
        <v>271</v>
      </c>
      <c r="C139" t="s">
        <v>282</v>
      </c>
      <c r="D139" t="s">
        <v>147</v>
      </c>
      <c r="E139" t="s">
        <v>283</v>
      </c>
      <c r="F139" t="s">
        <v>45</v>
      </c>
      <c r="G139">
        <v>106</v>
      </c>
      <c r="H139">
        <v>3355.42</v>
      </c>
      <c r="J139">
        <v>3484</v>
      </c>
      <c r="L139">
        <f>VLOOKUP(D139,运费!B:C,2,0)</f>
        <v>70</v>
      </c>
      <c r="M139" s="8">
        <f t="shared" si="2"/>
        <v>234879.4</v>
      </c>
      <c r="N139" s="8" cm="1">
        <f t="array" ref="N139">(_xlfn.IFS(J139&gt;=4300,570/550*J139,J139&gt;=3800,0.0806*J139,J139&gt;=3300,0.0706*J139,J139&gt;=2500,0.0676*J139,TRUE,0.02*J139)+10)*H139</f>
        <v>858888.19956799992</v>
      </c>
    </row>
    <row r="140" spans="1:14" x14ac:dyDescent="0.15">
      <c r="A140">
        <v>8</v>
      </c>
      <c r="B140" t="s">
        <v>271</v>
      </c>
      <c r="C140" t="s">
        <v>284</v>
      </c>
      <c r="D140" t="s">
        <v>207</v>
      </c>
      <c r="E140" t="s">
        <v>285</v>
      </c>
      <c r="F140" t="s">
        <v>45</v>
      </c>
      <c r="G140">
        <v>21</v>
      </c>
      <c r="H140">
        <v>616.1</v>
      </c>
      <c r="J140">
        <v>3665</v>
      </c>
      <c r="L140">
        <f>VLOOKUP(D140,运费!B:C,2,0)</f>
        <v>113</v>
      </c>
      <c r="M140" s="8">
        <f t="shared" si="2"/>
        <v>69619.3</v>
      </c>
      <c r="N140" s="8" cm="1">
        <f t="array" ref="N140">(_xlfn.IFS(J140&gt;=4300,570/550*J140,J140&gt;=3800,0.0806*J140,J140&gt;=3300,0.0706*J140,J140&gt;=2500,0.0676*J140,TRUE,0.02*J140)+10)*H140</f>
        <v>165576.25889999999</v>
      </c>
    </row>
    <row r="141" spans="1:14" x14ac:dyDescent="0.15">
      <c r="A141">
        <v>9</v>
      </c>
      <c r="B141" t="s">
        <v>271</v>
      </c>
      <c r="C141" t="s">
        <v>286</v>
      </c>
      <c r="D141" t="s">
        <v>56</v>
      </c>
      <c r="E141" t="s">
        <v>287</v>
      </c>
      <c r="F141" t="s">
        <v>12</v>
      </c>
      <c r="G141">
        <v>187</v>
      </c>
      <c r="H141">
        <v>5756.38</v>
      </c>
      <c r="J141">
        <v>3794</v>
      </c>
      <c r="L141">
        <f>VLOOKUP(D141,运费!B:C,2,0)</f>
        <v>67</v>
      </c>
      <c r="M141" s="8">
        <f t="shared" si="2"/>
        <v>385677.46</v>
      </c>
      <c r="N141" s="8" cm="1">
        <f t="array" ref="N141">(_xlfn.IFS(J141&gt;=4300,570/550*J141,J141&gt;=3800,0.0806*J141,J141&gt;=3300,0.0706*J141,J141&gt;=2500,0.0676*J141,TRUE,0.02*J141)+10)*H141</f>
        <v>1599447.0238320001</v>
      </c>
    </row>
    <row r="142" spans="1:14" x14ac:dyDescent="0.15">
      <c r="A142">
        <v>10</v>
      </c>
      <c r="B142" t="s">
        <v>271</v>
      </c>
      <c r="C142" t="s">
        <v>288</v>
      </c>
      <c r="D142" t="s">
        <v>212</v>
      </c>
      <c r="E142" t="s">
        <v>289</v>
      </c>
      <c r="F142" t="s">
        <v>45</v>
      </c>
      <c r="G142">
        <v>33</v>
      </c>
      <c r="H142">
        <v>997.88</v>
      </c>
      <c r="J142">
        <v>4063</v>
      </c>
      <c r="L142">
        <f>VLOOKUP(D142,运费!B:C,2,0)</f>
        <v>108</v>
      </c>
      <c r="M142" s="8">
        <f t="shared" si="2"/>
        <v>107771.04</v>
      </c>
      <c r="N142" s="8" cm="1">
        <f t="array" ref="N142">(_xlfn.IFS(J142&gt;=4300,570/550*J142,J142&gt;=3800,0.0806*J142,J142&gt;=3300,0.0706*J142,J142&gt;=2500,0.0676*J142,TRUE,0.02*J142)+10)*H142</f>
        <v>336762.34706399997</v>
      </c>
    </row>
    <row r="143" spans="1:14" x14ac:dyDescent="0.15">
      <c r="A143">
        <v>11</v>
      </c>
      <c r="B143" t="s">
        <v>271</v>
      </c>
      <c r="C143" t="s">
        <v>290</v>
      </c>
      <c r="D143" t="s">
        <v>291</v>
      </c>
      <c r="E143" t="s">
        <v>292</v>
      </c>
      <c r="F143" t="s">
        <v>12</v>
      </c>
      <c r="G143">
        <v>156</v>
      </c>
      <c r="H143">
        <v>4930.28</v>
      </c>
      <c r="J143">
        <v>5576</v>
      </c>
      <c r="L143">
        <f>VLOOKUP(D143,运费!B:C,2,0)</f>
        <v>81</v>
      </c>
      <c r="M143" s="8">
        <f t="shared" si="2"/>
        <v>399352.68</v>
      </c>
      <c r="N143" s="8" cm="1">
        <f t="array" ref="N143">(_xlfn.IFS(J143&gt;=4300,570/550*J143,J143&gt;=3800,0.0806*J143,J143&gt;=3300,0.0706*J143,J143&gt;=2500,0.0676*J143,TRUE,0.02*J143)+10)*H143</f>
        <v>28540225.581090908</v>
      </c>
    </row>
    <row r="144" spans="1:14" x14ac:dyDescent="0.15">
      <c r="A144">
        <v>12</v>
      </c>
      <c r="B144" t="s">
        <v>271</v>
      </c>
      <c r="C144" t="s">
        <v>293</v>
      </c>
      <c r="D144" t="s">
        <v>294</v>
      </c>
      <c r="E144" t="s">
        <v>295</v>
      </c>
      <c r="F144" t="s">
        <v>12</v>
      </c>
      <c r="G144">
        <v>440</v>
      </c>
      <c r="H144">
        <v>12765.34</v>
      </c>
      <c r="J144">
        <v>3970</v>
      </c>
      <c r="L144">
        <f>VLOOKUP(D144,运费!B:C,2,0)</f>
        <v>175.5</v>
      </c>
      <c r="M144" s="8">
        <f t="shared" si="2"/>
        <v>2240317.17</v>
      </c>
      <c r="N144" s="8" cm="1">
        <f t="array" ref="N144">(_xlfn.IFS(J144&gt;=4300,570/550*J144,J144&gt;=3800,0.0806*J144,J144&gt;=3300,0.0706*J144,J144&gt;=2500,0.0676*J144,TRUE,0.02*J144)+10)*H144</f>
        <v>4212332.4238800006</v>
      </c>
    </row>
    <row r="145" spans="1:14" x14ac:dyDescent="0.15">
      <c r="A145">
        <v>13</v>
      </c>
      <c r="B145" t="s">
        <v>271</v>
      </c>
      <c r="C145" t="s">
        <v>296</v>
      </c>
      <c r="D145" t="s">
        <v>119</v>
      </c>
      <c r="E145" t="s">
        <v>297</v>
      </c>
      <c r="F145" t="s">
        <v>12</v>
      </c>
      <c r="G145">
        <v>40</v>
      </c>
      <c r="H145">
        <v>1264.1400000000001</v>
      </c>
      <c r="J145">
        <v>4930</v>
      </c>
      <c r="L145">
        <f>VLOOKUP(D145,运费!B:C,2,0)</f>
        <v>105</v>
      </c>
      <c r="M145" s="8">
        <f t="shared" si="2"/>
        <v>132734.70000000001</v>
      </c>
      <c r="N145" s="8" cm="1">
        <f t="array" ref="N145">(_xlfn.IFS(J145&gt;=4300,570/550*J145,J145&gt;=3800,0.0806*J145,J145&gt;=3300,0.0706*J145,J145&gt;=2500,0.0676*J145,TRUE,0.02*J145)+10)*H145</f>
        <v>6471477.4254545458</v>
      </c>
    </row>
    <row r="146" spans="1:14" x14ac:dyDescent="0.15">
      <c r="A146">
        <v>14</v>
      </c>
      <c r="B146" t="s">
        <v>271</v>
      </c>
      <c r="C146" t="s">
        <v>298</v>
      </c>
      <c r="D146" t="s">
        <v>264</v>
      </c>
      <c r="E146" t="s">
        <v>299</v>
      </c>
      <c r="F146" t="s">
        <v>12</v>
      </c>
      <c r="G146">
        <v>30</v>
      </c>
      <c r="H146">
        <v>978.74</v>
      </c>
      <c r="J146">
        <v>5225</v>
      </c>
      <c r="L146">
        <f>VLOOKUP(D146,运费!B:C,2,0)</f>
        <v>114.09</v>
      </c>
      <c r="M146" s="8">
        <f t="shared" si="2"/>
        <v>111664.44660000001</v>
      </c>
      <c r="N146" s="8" cm="1">
        <f t="array" ref="N146">(_xlfn.IFS(J146&gt;=4300,570/550*J146,J146&gt;=3800,0.0806*J146,J146&gt;=3300,0.0706*J146,J146&gt;=2500,0.0676*J146,TRUE,0.02*J146)+10)*H146</f>
        <v>5309664.5</v>
      </c>
    </row>
    <row r="147" spans="1:14" x14ac:dyDescent="0.15">
      <c r="A147">
        <v>15</v>
      </c>
      <c r="B147" t="s">
        <v>271</v>
      </c>
      <c r="C147" t="s">
        <v>300</v>
      </c>
      <c r="D147" t="s">
        <v>160</v>
      </c>
      <c r="E147" t="s">
        <v>301</v>
      </c>
      <c r="F147" t="s">
        <v>12</v>
      </c>
      <c r="G147">
        <v>829</v>
      </c>
      <c r="H147">
        <v>26783.82</v>
      </c>
      <c r="J147">
        <v>2849</v>
      </c>
      <c r="L147">
        <f>VLOOKUP(D147,运费!B:C,2,0)</f>
        <v>82</v>
      </c>
      <c r="M147" s="8">
        <f t="shared" si="2"/>
        <v>2196273.2399999998</v>
      </c>
      <c r="N147" s="8" cm="1">
        <f t="array" ref="N147">(_xlfn.IFS(J147&gt;=4300,570/550*J147,J147&gt;=3800,0.0806*J147,J147&gt;=3300,0.0706*J147,J147&gt;=2500,0.0676*J147,TRUE,0.02*J147)+10)*H147</f>
        <v>5426198.3749679988</v>
      </c>
    </row>
    <row r="148" spans="1:14" x14ac:dyDescent="0.15">
      <c r="A148">
        <v>16</v>
      </c>
      <c r="B148" t="s">
        <v>271</v>
      </c>
      <c r="C148" t="s">
        <v>243</v>
      </c>
      <c r="D148" t="s">
        <v>89</v>
      </c>
      <c r="E148" t="s">
        <v>302</v>
      </c>
      <c r="F148" t="s">
        <v>12</v>
      </c>
      <c r="G148">
        <v>144</v>
      </c>
      <c r="H148">
        <v>4176.58</v>
      </c>
      <c r="J148">
        <v>4835</v>
      </c>
      <c r="L148">
        <f>VLOOKUP(D148,运费!B:C,2,0)</f>
        <v>108.51</v>
      </c>
      <c r="M148" s="8">
        <f t="shared" si="2"/>
        <v>453200.69579999999</v>
      </c>
      <c r="N148" s="8" cm="1">
        <f t="array" ref="N148">(_xlfn.IFS(J148&gt;=4300,570/550*J148,J148&gt;=3800,0.0806*J148,J148&gt;=3300,0.0706*J148,J148&gt;=2500,0.0676*J148,TRUE,0.02*J148)+10)*H148</f>
        <v>20969848.801818181</v>
      </c>
    </row>
    <row r="149" spans="1:14" x14ac:dyDescent="0.15">
      <c r="A149">
        <v>17</v>
      </c>
      <c r="B149" t="s">
        <v>271</v>
      </c>
      <c r="C149" t="s">
        <v>303</v>
      </c>
      <c r="D149" t="s">
        <v>89</v>
      </c>
      <c r="E149" t="s">
        <v>302</v>
      </c>
      <c r="F149" t="s">
        <v>12</v>
      </c>
      <c r="G149">
        <v>371</v>
      </c>
      <c r="H149">
        <v>10704.1</v>
      </c>
      <c r="J149">
        <v>4835</v>
      </c>
      <c r="L149">
        <f>VLOOKUP(D149,运费!B:C,2,0)</f>
        <v>108.51</v>
      </c>
      <c r="M149" s="8">
        <f t="shared" si="2"/>
        <v>1161501.8910000001</v>
      </c>
      <c r="N149" s="8" cm="1">
        <f t="array" ref="N149">(_xlfn.IFS(J149&gt;=4300,570/550*J149,J149&gt;=3800,0.0806*J149,J149&gt;=3300,0.0706*J149,J149&gt;=2500,0.0676*J149,TRUE,0.02*J149)+10)*H149</f>
        <v>53743339.900000006</v>
      </c>
    </row>
    <row r="150" spans="1:14" x14ac:dyDescent="0.15">
      <c r="A150">
        <v>18</v>
      </c>
      <c r="B150" t="s">
        <v>271</v>
      </c>
      <c r="C150" t="s">
        <v>304</v>
      </c>
      <c r="D150" t="s">
        <v>89</v>
      </c>
      <c r="E150" t="s">
        <v>302</v>
      </c>
      <c r="F150" t="s">
        <v>12</v>
      </c>
      <c r="G150">
        <v>136</v>
      </c>
      <c r="H150">
        <v>3925</v>
      </c>
      <c r="J150">
        <v>4835</v>
      </c>
      <c r="L150">
        <f>VLOOKUP(D150,运费!B:C,2,0)</f>
        <v>108.51</v>
      </c>
      <c r="M150" s="8">
        <f t="shared" si="2"/>
        <v>425901.75</v>
      </c>
      <c r="N150" s="8" cm="1">
        <f t="array" ref="N150">(_xlfn.IFS(J150&gt;=4300,570/550*J150,J150&gt;=3800,0.0806*J150,J150&gt;=3300,0.0706*J150,J150&gt;=2500,0.0676*J150,TRUE,0.02*J150)+10)*H150</f>
        <v>19706711.363636363</v>
      </c>
    </row>
    <row r="151" spans="1:14" x14ac:dyDescent="0.15">
      <c r="A151">
        <v>19</v>
      </c>
      <c r="B151" t="s">
        <v>271</v>
      </c>
      <c r="C151" t="s">
        <v>269</v>
      </c>
      <c r="D151" t="s">
        <v>96</v>
      </c>
      <c r="E151" t="s">
        <v>305</v>
      </c>
      <c r="F151" t="s">
        <v>12</v>
      </c>
      <c r="G151">
        <v>1</v>
      </c>
      <c r="H151">
        <v>31.52</v>
      </c>
      <c r="J151">
        <v>4634</v>
      </c>
      <c r="L151">
        <f>VLOOKUP(D151,运费!B:C,2,0)</f>
        <v>60.5</v>
      </c>
      <c r="M151" s="8">
        <f t="shared" si="2"/>
        <v>1906.96</v>
      </c>
      <c r="N151" s="8" cm="1">
        <f t="array" ref="N151">(_xlfn.IFS(J151&gt;=4300,570/550*J151,J151&gt;=3800,0.0806*J151,J151&gt;=3300,0.0706*J151,J151&gt;=2500,0.0676*J151,TRUE,0.02*J151)+10)*H151</f>
        <v>151690.28654545455</v>
      </c>
    </row>
    <row r="152" spans="1:14" x14ac:dyDescent="0.15">
      <c r="A152">
        <v>20</v>
      </c>
      <c r="B152" t="s">
        <v>271</v>
      </c>
      <c r="C152" t="s">
        <v>306</v>
      </c>
      <c r="D152" t="s">
        <v>96</v>
      </c>
      <c r="E152" t="s">
        <v>305</v>
      </c>
      <c r="F152" t="s">
        <v>12</v>
      </c>
      <c r="G152">
        <v>1247</v>
      </c>
      <c r="H152">
        <v>39744.82</v>
      </c>
      <c r="J152">
        <v>4634</v>
      </c>
      <c r="L152">
        <f>VLOOKUP(D152,运费!B:C,2,0)</f>
        <v>60.5</v>
      </c>
      <c r="M152" s="8">
        <f t="shared" si="2"/>
        <v>2404561.61</v>
      </c>
      <c r="N152" s="8" cm="1">
        <f t="array" ref="N152">(_xlfn.IFS(J152&gt;=4300,570/550*J152,J152&gt;=3800,0.0806*J152,J152&gt;=3300,0.0706*J152,J152&gt;=2500,0.0676*J152,TRUE,0.02*J152)+10)*H152</f>
        <v>191272307.56654546</v>
      </c>
    </row>
    <row r="153" spans="1:14" x14ac:dyDescent="0.15">
      <c r="A153">
        <v>1</v>
      </c>
      <c r="B153" t="s">
        <v>307</v>
      </c>
      <c r="C153" t="s">
        <v>273</v>
      </c>
      <c r="D153" t="s">
        <v>10</v>
      </c>
      <c r="E153" t="s">
        <v>308</v>
      </c>
      <c r="F153" t="s">
        <v>12</v>
      </c>
      <c r="G153">
        <v>57</v>
      </c>
      <c r="H153">
        <v>1654.64</v>
      </c>
      <c r="J153">
        <v>2421</v>
      </c>
      <c r="L153">
        <f>VLOOKUP(D153,运费!B:C,2,0)</f>
        <v>147.1</v>
      </c>
      <c r="M153" s="8">
        <f t="shared" si="2"/>
        <v>243397.54399999999</v>
      </c>
      <c r="N153" s="8" cm="1">
        <f t="array" ref="N153">(_xlfn.IFS(J153&gt;=4300,570/5500*J153,J153&gt;=3800,0.0806*J153,J153&gt;=3300,0.0706*J153,J153&gt;=2500,0.0676*J153,TRUE,0.02*J153)+10)*H153</f>
        <v>96664.068800000008</v>
      </c>
    </row>
    <row r="154" spans="1:14" x14ac:dyDescent="0.15">
      <c r="A154">
        <v>2</v>
      </c>
      <c r="B154" t="s">
        <v>307</v>
      </c>
      <c r="C154" t="s">
        <v>309</v>
      </c>
      <c r="D154" t="s">
        <v>10</v>
      </c>
      <c r="E154" t="s">
        <v>308</v>
      </c>
      <c r="F154" t="s">
        <v>12</v>
      </c>
      <c r="G154">
        <v>453</v>
      </c>
      <c r="H154">
        <v>13146.04</v>
      </c>
      <c r="J154">
        <v>2421</v>
      </c>
      <c r="L154">
        <f>VLOOKUP(D154,运费!B:C,2,0)</f>
        <v>147.1</v>
      </c>
      <c r="M154" s="8">
        <f t="shared" si="2"/>
        <v>1933782.4839999999</v>
      </c>
      <c r="N154" s="8" cm="1">
        <f t="array" ref="N154">(_xlfn.IFS(J154&gt;=4300,570/5500*J154,J154&gt;=3800,0.0806*J154,J154&gt;=3300,0.0706*J154,J154&gt;=2500,0.0676*J154,TRUE,0.02*J154)+10)*H154</f>
        <v>767991.65680000011</v>
      </c>
    </row>
    <row r="155" spans="1:14" x14ac:dyDescent="0.15">
      <c r="A155">
        <v>3</v>
      </c>
      <c r="B155" t="s">
        <v>307</v>
      </c>
      <c r="C155" t="s">
        <v>274</v>
      </c>
      <c r="D155" t="s">
        <v>275</v>
      </c>
      <c r="E155" t="s">
        <v>310</v>
      </c>
      <c r="F155" t="s">
        <v>12</v>
      </c>
      <c r="G155">
        <v>126</v>
      </c>
      <c r="H155">
        <v>3637.18</v>
      </c>
      <c r="J155">
        <v>4381</v>
      </c>
      <c r="L155">
        <f>VLOOKUP(D155,运费!B:C,2,0)</f>
        <v>143.91999999999999</v>
      </c>
      <c r="M155" s="8">
        <f t="shared" si="2"/>
        <v>523462.94559999992</v>
      </c>
      <c r="N155" s="8" cm="1">
        <f t="array" ref="N155">(_xlfn.IFS(J155&gt;=4300,570/5500*J155,J155&gt;=3800,0.0806*J155,J155&gt;=3300,0.0706*J155,J155&gt;=2500,0.0676*J155,TRUE,0.02*J155)+10)*H155</f>
        <v>1687763.9419272728</v>
      </c>
    </row>
    <row r="156" spans="1:14" x14ac:dyDescent="0.15">
      <c r="A156">
        <v>4</v>
      </c>
      <c r="B156" t="s">
        <v>307</v>
      </c>
      <c r="C156" t="s">
        <v>311</v>
      </c>
      <c r="D156" t="s">
        <v>275</v>
      </c>
      <c r="E156" t="s">
        <v>310</v>
      </c>
      <c r="F156" t="s">
        <v>12</v>
      </c>
      <c r="G156">
        <v>118</v>
      </c>
      <c r="H156">
        <v>3403.34</v>
      </c>
      <c r="J156">
        <v>4381</v>
      </c>
      <c r="L156">
        <f>VLOOKUP(D156,运费!B:C,2,0)</f>
        <v>143.91999999999999</v>
      </c>
      <c r="M156" s="8">
        <f t="shared" si="2"/>
        <v>489808.69279999996</v>
      </c>
      <c r="N156" s="8" cm="1">
        <f t="array" ref="N156">(_xlfn.IFS(J156&gt;=4300,570/5500*J156,J156&gt;=3800,0.0806*J156,J156&gt;=3300,0.0706*J156,J156&gt;=2500,0.0676*J156,TRUE,0.02*J156)+10)*H156</f>
        <v>1579254.9541454548</v>
      </c>
    </row>
    <row r="157" spans="1:14" x14ac:dyDescent="0.15">
      <c r="A157">
        <v>5</v>
      </c>
      <c r="B157" t="s">
        <v>307</v>
      </c>
      <c r="C157" t="s">
        <v>312</v>
      </c>
      <c r="D157" t="s">
        <v>226</v>
      </c>
      <c r="E157" t="s">
        <v>313</v>
      </c>
      <c r="F157" t="s">
        <v>12</v>
      </c>
      <c r="G157">
        <v>192</v>
      </c>
      <c r="H157">
        <v>5963.14</v>
      </c>
      <c r="J157">
        <v>5540</v>
      </c>
      <c r="L157">
        <f>VLOOKUP(D157,运费!B:C,2,0)</f>
        <v>78</v>
      </c>
      <c r="M157" s="8">
        <f t="shared" si="2"/>
        <v>465124.92000000004</v>
      </c>
      <c r="N157" s="8" cm="1">
        <f t="array" ref="N157">(_xlfn.IFS(J157&gt;=4300,570/550*J157,J157&gt;=3800,0.0806*J157,J157&gt;=3300,0.0706*J157,J157&gt;=2500,0.0676*J157,TRUE,0.02*J157)+10)*H157</f>
        <v>34296728.658181824</v>
      </c>
    </row>
    <row r="158" spans="1:14" x14ac:dyDescent="0.15">
      <c r="A158">
        <v>6</v>
      </c>
      <c r="B158" t="s">
        <v>307</v>
      </c>
      <c r="C158" t="s">
        <v>314</v>
      </c>
      <c r="D158" t="s">
        <v>27</v>
      </c>
      <c r="E158" t="s">
        <v>315</v>
      </c>
      <c r="F158" t="s">
        <v>12</v>
      </c>
      <c r="G158">
        <v>158</v>
      </c>
      <c r="H158">
        <v>4937.76</v>
      </c>
      <c r="J158">
        <v>4598</v>
      </c>
      <c r="L158">
        <f>VLOOKUP(D158,运费!B:C,2,0)</f>
        <v>104.5</v>
      </c>
      <c r="M158" s="8">
        <f t="shared" si="2"/>
        <v>515995.92000000004</v>
      </c>
      <c r="N158" s="8" cm="1">
        <f t="array" ref="N158">(_xlfn.IFS(J158&gt;=4300,570/550*J158,J158&gt;=3800,0.0806*J158,J158&gt;=3300,0.0706*J158,J158&gt;=2500,0.0676*J158,TRUE,0.02*J158)+10)*H158</f>
        <v>23578791.552000001</v>
      </c>
    </row>
    <row r="159" spans="1:14" x14ac:dyDescent="0.15">
      <c r="A159">
        <v>7</v>
      </c>
      <c r="B159" t="s">
        <v>307</v>
      </c>
      <c r="C159" t="s">
        <v>316</v>
      </c>
      <c r="D159" t="s">
        <v>33</v>
      </c>
      <c r="E159" t="s">
        <v>317</v>
      </c>
      <c r="F159" t="s">
        <v>12</v>
      </c>
      <c r="G159">
        <v>877</v>
      </c>
      <c r="H159">
        <v>28110.11</v>
      </c>
      <c r="J159">
        <v>5656</v>
      </c>
      <c r="L159">
        <f>VLOOKUP(D159,运费!B:C,2,0)</f>
        <v>58</v>
      </c>
      <c r="M159" s="8">
        <f t="shared" si="2"/>
        <v>1630386.3800000001</v>
      </c>
      <c r="N159" s="8" cm="1">
        <f t="array" ref="N159">(_xlfn.IFS(J159&gt;=4300,570/5500*J159,J159&gt;=3800,0.0806*J159,J159&gt;=3300,0.0706*J159,J159&gt;=2500,0.0676*J159,TRUE,0.02*J159)+10)*H159</f>
        <v>16758327.614763636</v>
      </c>
    </row>
    <row r="160" spans="1:14" x14ac:dyDescent="0.15">
      <c r="A160">
        <v>8</v>
      </c>
      <c r="B160" t="s">
        <v>307</v>
      </c>
      <c r="C160" t="s">
        <v>318</v>
      </c>
      <c r="D160" t="s">
        <v>147</v>
      </c>
      <c r="E160" t="s">
        <v>319</v>
      </c>
      <c r="F160" t="s">
        <v>45</v>
      </c>
      <c r="G160">
        <v>64</v>
      </c>
      <c r="H160">
        <v>1968.72</v>
      </c>
      <c r="J160">
        <v>3194</v>
      </c>
      <c r="L160">
        <f>VLOOKUP(D160,运费!B:C,2,0)</f>
        <v>70</v>
      </c>
      <c r="M160" s="8">
        <f t="shared" si="2"/>
        <v>137810.4</v>
      </c>
      <c r="N160" s="8" cm="1">
        <f t="array" ref="N160">(_xlfn.IFS(J160&gt;=4300,570/550*J160,J160&gt;=3800,0.0806*J160,J160&gt;=3300,0.0706*J160,J160&gt;=2500,0.0676*J160,TRUE,0.02*J160)+10)*H160</f>
        <v>444762.19756799995</v>
      </c>
    </row>
    <row r="161" spans="1:15" x14ac:dyDescent="0.15">
      <c r="A161">
        <v>9</v>
      </c>
      <c r="B161" t="s">
        <v>307</v>
      </c>
      <c r="C161" t="s">
        <v>320</v>
      </c>
      <c r="D161" t="s">
        <v>321</v>
      </c>
      <c r="E161" t="s">
        <v>322</v>
      </c>
      <c r="F161" t="s">
        <v>45</v>
      </c>
      <c r="G161">
        <v>172</v>
      </c>
      <c r="H161">
        <v>5449.14</v>
      </c>
      <c r="J161">
        <v>3808</v>
      </c>
      <c r="L161">
        <f>VLOOKUP(D161,运费!B:C,2,0)</f>
        <v>68</v>
      </c>
      <c r="M161" s="8">
        <f t="shared" si="2"/>
        <v>370541.52</v>
      </c>
      <c r="N161" s="8" cm="1">
        <f t="array" ref="N161">(_xlfn.IFS(J161&gt;=4300,570/550*J161,J161&gt;=3800,0.0806*J161,J161&gt;=3300,0.0706*J161,J161&gt;=2500,0.0676*J161,TRUE,0.02*J161)+10)*H161</f>
        <v>1726967.604672</v>
      </c>
    </row>
    <row r="162" spans="1:15" x14ac:dyDescent="0.15">
      <c r="A162">
        <v>10</v>
      </c>
      <c r="B162" t="s">
        <v>307</v>
      </c>
      <c r="C162" t="s">
        <v>323</v>
      </c>
      <c r="D162" t="s">
        <v>321</v>
      </c>
      <c r="E162" t="s">
        <v>322</v>
      </c>
      <c r="F162" t="s">
        <v>45</v>
      </c>
      <c r="G162">
        <v>634</v>
      </c>
      <c r="H162">
        <v>19888.54</v>
      </c>
      <c r="J162">
        <v>3808</v>
      </c>
      <c r="L162">
        <f>VLOOKUP(D162,运费!B:C,2,0)</f>
        <v>68</v>
      </c>
      <c r="M162" s="8">
        <f t="shared" si="2"/>
        <v>1352420.72</v>
      </c>
      <c r="N162" s="8" cm="1">
        <f t="array" ref="N162">(_xlfn.IFS(J162&gt;=4300,570/550*J162,J162&gt;=3800,0.0806*J162,J162&gt;=3300,0.0706*J162,J162&gt;=2500,0.0676*J162,TRUE,0.02*J162)+10)*H162</f>
        <v>6303171.5617920002</v>
      </c>
    </row>
    <row r="163" spans="1:15" x14ac:dyDescent="0.15">
      <c r="A163">
        <v>11</v>
      </c>
      <c r="B163" t="s">
        <v>307</v>
      </c>
      <c r="C163" t="s">
        <v>324</v>
      </c>
      <c r="D163" t="s">
        <v>207</v>
      </c>
      <c r="E163" t="s">
        <v>325</v>
      </c>
      <c r="F163" t="s">
        <v>45</v>
      </c>
      <c r="G163">
        <v>18</v>
      </c>
      <c r="H163">
        <v>542.78</v>
      </c>
      <c r="J163">
        <v>3386</v>
      </c>
      <c r="L163">
        <f>VLOOKUP(D163,运费!B:C,2,0)</f>
        <v>113</v>
      </c>
      <c r="M163" s="8">
        <f t="shared" ref="M163:M194" si="3">H163*L163</f>
        <v>61334.14</v>
      </c>
      <c r="N163" s="8" cm="1">
        <f t="array" ref="N163">(_xlfn.IFS(J163&gt;=4300,570/550*J163,J163&gt;=3800,0.0806*J163,J163&gt;=3300,0.0706*J163,J163&gt;=2500,0.0676*J163,TRUE,0.02*J163)+10)*H163</f>
        <v>135180.22744799999</v>
      </c>
    </row>
    <row r="164" spans="1:15" x14ac:dyDescent="0.15">
      <c r="A164">
        <v>12</v>
      </c>
      <c r="B164" t="s">
        <v>307</v>
      </c>
      <c r="C164" t="s">
        <v>293</v>
      </c>
      <c r="D164" t="s">
        <v>294</v>
      </c>
      <c r="E164" t="s">
        <v>326</v>
      </c>
      <c r="F164" t="s">
        <v>12</v>
      </c>
      <c r="G164">
        <v>465</v>
      </c>
      <c r="H164">
        <v>13489.8</v>
      </c>
      <c r="J164">
        <v>3644</v>
      </c>
      <c r="L164">
        <f>VLOOKUP(D164,运费!B:C,2,0)</f>
        <v>175.5</v>
      </c>
      <c r="M164" s="8">
        <f t="shared" si="3"/>
        <v>2367459.9</v>
      </c>
      <c r="N164" s="8" cm="1">
        <f t="array" ref="N164">(_xlfn.IFS(J164&gt;=4300,570/5500*J164,J164&gt;=3800,0.0806*J164,J164&gt;=3300,0.0706*J164,J164&gt;=2500,0.0676*J164,TRUE,0.02*J164)+10)*H164</f>
        <v>3605370.2827199996</v>
      </c>
    </row>
    <row r="165" spans="1:15" x14ac:dyDescent="0.15">
      <c r="A165">
        <v>13</v>
      </c>
      <c r="B165" t="s">
        <v>307</v>
      </c>
      <c r="C165" t="s">
        <v>327</v>
      </c>
      <c r="D165" t="s">
        <v>294</v>
      </c>
      <c r="E165" t="s">
        <v>326</v>
      </c>
      <c r="F165" t="s">
        <v>12</v>
      </c>
      <c r="G165">
        <v>329</v>
      </c>
      <c r="H165">
        <v>9537</v>
      </c>
      <c r="J165">
        <v>3644</v>
      </c>
      <c r="L165">
        <f>VLOOKUP(D165,运费!B:C,2,0)</f>
        <v>175.5</v>
      </c>
      <c r="M165" s="8">
        <f t="shared" si="3"/>
        <v>1673743.5</v>
      </c>
      <c r="N165" s="8" cm="1">
        <f t="array" ref="N165">(_xlfn.IFS(J165&gt;=4300,570/5500*J165,J165&gt;=3800,0.0806*J165,J165&gt;=3300,0.0706*J165,J165&gt;=2500,0.0676*J165,TRUE,0.02*J165)+10)*H165</f>
        <v>2548919.6568</v>
      </c>
    </row>
    <row r="166" spans="1:15" x14ac:dyDescent="0.15">
      <c r="A166">
        <v>14</v>
      </c>
      <c r="B166" t="s">
        <v>307</v>
      </c>
      <c r="C166" t="s">
        <v>328</v>
      </c>
      <c r="D166" t="s">
        <v>119</v>
      </c>
      <c r="E166" t="s">
        <v>329</v>
      </c>
      <c r="F166" t="s">
        <v>12</v>
      </c>
      <c r="G166">
        <v>287</v>
      </c>
      <c r="H166">
        <v>9226.86</v>
      </c>
      <c r="J166">
        <v>5296</v>
      </c>
      <c r="L166">
        <f>VLOOKUP(D166,运费!B:C,2,0)</f>
        <v>105</v>
      </c>
      <c r="M166" s="8">
        <f t="shared" si="3"/>
        <v>968820.3</v>
      </c>
      <c r="N166" s="8" cm="1">
        <f t="array" ref="N166">(_xlfn.IFS(J166&gt;=4300,570/550*J166,J166&gt;=3800,0.0806*J166,J166&gt;=3300,0.0706*J166,J166&gt;=2500,0.0676*J166,TRUE,0.02*J166)+10)*H166</f>
        <v>50734644.634909101</v>
      </c>
    </row>
    <row r="167" spans="1:15" x14ac:dyDescent="0.15">
      <c r="A167">
        <v>15</v>
      </c>
      <c r="B167" t="s">
        <v>307</v>
      </c>
      <c r="C167" t="s">
        <v>330</v>
      </c>
      <c r="D167" t="s">
        <v>264</v>
      </c>
      <c r="E167" t="s">
        <v>331</v>
      </c>
      <c r="F167" t="s">
        <v>12</v>
      </c>
      <c r="G167">
        <v>61</v>
      </c>
      <c r="H167">
        <v>1966.9</v>
      </c>
      <c r="J167">
        <v>3494</v>
      </c>
      <c r="L167">
        <f>VLOOKUP(D167,运费!B:C,2,0)</f>
        <v>114.09</v>
      </c>
      <c r="M167" s="8">
        <f t="shared" si="3"/>
        <v>224403.62100000001</v>
      </c>
      <c r="N167" s="8" cm="1">
        <f t="array" ref="N167">(_xlfn.IFS(J167&gt;=4300,570/550*J167,J167&gt;=3800,0.0806*J167,J167&gt;=3300,0.0706*J167,J167&gt;=2500,0.0676*J167,TRUE,0.02*J167)+10)*H167</f>
        <v>504856.81115999992</v>
      </c>
    </row>
    <row r="168" spans="1:15" x14ac:dyDescent="0.15">
      <c r="A168">
        <v>16</v>
      </c>
      <c r="B168" t="s">
        <v>307</v>
      </c>
      <c r="C168" t="s">
        <v>332</v>
      </c>
      <c r="D168" t="s">
        <v>160</v>
      </c>
      <c r="E168" t="s">
        <v>333</v>
      </c>
      <c r="F168" t="s">
        <v>12</v>
      </c>
      <c r="G168">
        <v>766</v>
      </c>
      <c r="H168">
        <v>24827.94</v>
      </c>
      <c r="J168">
        <v>2889</v>
      </c>
      <c r="L168">
        <f>VLOOKUP(D168,运费!B:C,2,0)</f>
        <v>82</v>
      </c>
      <c r="M168" s="8">
        <f t="shared" si="3"/>
        <v>2035891.0799999998</v>
      </c>
      <c r="N168" s="8" cm="1">
        <f t="array" ref="N168">(_xlfn.IFS(J168&gt;=4300,570/5500*J168,J168&gt;=3800,0.0806*J168,J168&gt;=3300,0.0706*J168,J168&gt;=2500,0.0676*J168,TRUE,0.02*J168)+10)*H168</f>
        <v>5097086.7014159989</v>
      </c>
    </row>
    <row r="169" spans="1:15" x14ac:dyDescent="0.15">
      <c r="A169">
        <v>17</v>
      </c>
      <c r="B169" t="s">
        <v>307</v>
      </c>
      <c r="C169" t="s">
        <v>334</v>
      </c>
      <c r="D169" t="s">
        <v>89</v>
      </c>
      <c r="E169" t="s">
        <v>335</v>
      </c>
      <c r="F169" t="s">
        <v>12</v>
      </c>
      <c r="G169">
        <v>173</v>
      </c>
      <c r="H169">
        <v>5016.9399999999996</v>
      </c>
      <c r="J169">
        <v>4703</v>
      </c>
      <c r="L169">
        <f>VLOOKUP(D169,运费!B:C,2,0)</f>
        <v>108.51</v>
      </c>
      <c r="M169" s="8">
        <f t="shared" si="3"/>
        <v>544388.1594</v>
      </c>
      <c r="N169" s="8" cm="1">
        <f t="array" ref="N169">(_xlfn.IFS(J169&gt;=4300,570/5500*J169,J169&gt;=3800,0.0806*J169,J169&gt;=3300,0.0706*J169,J169&gt;=2500,0.0676*J169,TRUE,0.02*J169)+10)*H169</f>
        <v>2495435.0777090909</v>
      </c>
    </row>
    <row r="170" spans="1:15" x14ac:dyDescent="0.15">
      <c r="A170">
        <v>18</v>
      </c>
      <c r="B170" t="s">
        <v>307</v>
      </c>
      <c r="C170" t="s">
        <v>336</v>
      </c>
      <c r="D170" t="s">
        <v>96</v>
      </c>
      <c r="E170" t="s">
        <v>337</v>
      </c>
      <c r="F170" t="s">
        <v>12</v>
      </c>
      <c r="G170">
        <v>1019</v>
      </c>
      <c r="H170">
        <v>32244.77</v>
      </c>
      <c r="J170">
        <v>4562</v>
      </c>
      <c r="L170">
        <f>VLOOKUP(D170,运费!B:C,2,0)</f>
        <v>60.5</v>
      </c>
      <c r="M170" s="8">
        <f t="shared" si="3"/>
        <v>1950808.585</v>
      </c>
      <c r="N170" s="8" cm="1">
        <f t="array" ref="N170">(_xlfn.IFS(J170&gt;=4300,570/5500*J170,J170&gt;=3800,0.0806*J170,J170&gt;=3300,0.0706*J170,J170&gt;=2500,0.0676*J170,TRUE,0.02*J170)+10)*H170</f>
        <v>15567423.194872728</v>
      </c>
    </row>
    <row r="171" spans="1:15" x14ac:dyDescent="0.15">
      <c r="A171">
        <v>1</v>
      </c>
      <c r="B171" t="s">
        <v>338</v>
      </c>
      <c r="C171" t="s">
        <v>309</v>
      </c>
      <c r="D171" t="s">
        <v>10</v>
      </c>
      <c r="E171" t="s">
        <v>339</v>
      </c>
      <c r="F171" t="s">
        <v>12</v>
      </c>
      <c r="G171">
        <v>546</v>
      </c>
      <c r="H171">
        <v>15769.8</v>
      </c>
      <c r="I171">
        <f>H171/0.98</f>
        <v>16091.632653061224</v>
      </c>
      <c r="J171">
        <v>2217</v>
      </c>
      <c r="K171">
        <f>J171+200</f>
        <v>2417</v>
      </c>
      <c r="L171">
        <f>VLOOKUP(D171,运费!B:C,2,0)</f>
        <v>147.1</v>
      </c>
      <c r="M171" s="8">
        <f t="shared" si="3"/>
        <v>2319737.5799999996</v>
      </c>
      <c r="N171" s="8" cm="1">
        <f t="array" ref="N171">(_xlfn.IFS(J171&gt;=4300,570/5500*J171,J171&gt;=3800,0.0806*J171,J171&gt;=3300,0.0706*J171,J171&gt;=2500,0.0676*J171,TRUE,0.02*J171)+10)*H171</f>
        <v>856930.93200000003</v>
      </c>
      <c r="O171" s="8" cm="1">
        <f t="array" ref="O171">(_xlfn.IFS(K171&gt;4300,570/5500*K171,K171&gt;=3800,0.0806*K171,K171&gt;=3300,0.0706*K171,K171&gt;=2500,0.0676*K171,TRUE,0.02*K171)+10)*I171</f>
        <v>938785.84897959186</v>
      </c>
    </row>
    <row r="172" spans="1:15" x14ac:dyDescent="0.15">
      <c r="A172">
        <v>2</v>
      </c>
      <c r="B172" t="s">
        <v>338</v>
      </c>
      <c r="C172" t="s">
        <v>311</v>
      </c>
      <c r="D172" t="s">
        <v>275</v>
      </c>
      <c r="E172" t="s">
        <v>340</v>
      </c>
      <c r="F172" t="s">
        <v>12</v>
      </c>
      <c r="G172">
        <v>106</v>
      </c>
      <c r="H172">
        <v>3075.84</v>
      </c>
      <c r="I172">
        <f>H172/0.98</f>
        <v>3138.6122448979595</v>
      </c>
      <c r="J172">
        <v>4609</v>
      </c>
      <c r="K172">
        <f>J172+200</f>
        <v>4809</v>
      </c>
      <c r="L172">
        <f>VLOOKUP(D172,运费!B:C,2,0)</f>
        <v>143.91999999999999</v>
      </c>
      <c r="M172" s="8">
        <f t="shared" si="3"/>
        <v>442674.89279999997</v>
      </c>
      <c r="N172" s="8" cm="1">
        <f t="array" ref="N172">(_xlfn.IFS(J172&gt;=4300,570/5500*J172,J172&gt;=3800,0.0806*J172,J172&gt;=3300,0.0706*J172,J172&gt;=2500,0.0676*J172,TRUE,0.02*J172)+10)*H172</f>
        <v>1499964.1344000001</v>
      </c>
      <c r="O172" s="8" cm="1">
        <f t="array" ref="O172">(_xlfn.IFS(K172&gt;4300,570/5500*K172,K172&gt;=3800,0.0806*K172,K172&gt;=3300,0.0706*K172,K172&gt;=2500,0.0676*K172,TRUE,0.02*K172)+10)*I172</f>
        <v>1595630.5193320967</v>
      </c>
    </row>
    <row r="173" spans="1:15" x14ac:dyDescent="0.15">
      <c r="A173">
        <v>3</v>
      </c>
      <c r="B173" t="s">
        <v>338</v>
      </c>
      <c r="C173" t="s">
        <v>341</v>
      </c>
      <c r="D173" t="s">
        <v>226</v>
      </c>
      <c r="E173" t="s">
        <v>342</v>
      </c>
      <c r="F173" t="s">
        <v>12</v>
      </c>
      <c r="G173">
        <v>350</v>
      </c>
      <c r="H173">
        <v>10918.16</v>
      </c>
      <c r="J173">
        <v>5579</v>
      </c>
      <c r="L173">
        <f>VLOOKUP(D173,运费!B:C,2,0)</f>
        <v>78</v>
      </c>
      <c r="M173" s="8">
        <f t="shared" si="3"/>
        <v>851616.48</v>
      </c>
      <c r="N173" s="8" cm="1">
        <f t="array" ref="N173">(_xlfn.IFS(J173&gt;=4300,570/550*J173,J173&gt;=3800,0.0806*J173,J173&gt;=3300,0.0706*J173,J173&gt;=2500,0.0676*J173,TRUE,0.02*J173)+10)*H173</f>
        <v>63236593.136</v>
      </c>
    </row>
    <row r="174" spans="1:15" x14ac:dyDescent="0.15">
      <c r="A174">
        <v>4</v>
      </c>
      <c r="B174" t="s">
        <v>338</v>
      </c>
      <c r="C174" t="s">
        <v>343</v>
      </c>
      <c r="D174" t="s">
        <v>27</v>
      </c>
      <c r="E174" t="s">
        <v>344</v>
      </c>
      <c r="F174" t="s">
        <v>12</v>
      </c>
      <c r="G174">
        <v>35</v>
      </c>
      <c r="H174">
        <v>1082.94</v>
      </c>
      <c r="J174">
        <v>5093</v>
      </c>
      <c r="L174">
        <f>VLOOKUP(D174,运费!B:C,2,0)</f>
        <v>104.5</v>
      </c>
      <c r="M174" s="8">
        <f t="shared" si="3"/>
        <v>113167.23000000001</v>
      </c>
      <c r="N174" s="8" cm="1">
        <f t="array" ref="N174">(_xlfn.IFS(J174&gt;=4300,570/550*J174,J174&gt;=3800,0.0806*J174,J174&gt;=3300,0.0706*J174,J174&gt;=2500,0.0676*J174,TRUE,0.02*J174)+10)*H174</f>
        <v>5726803.3080000002</v>
      </c>
    </row>
    <row r="175" spans="1:15" x14ac:dyDescent="0.15">
      <c r="A175">
        <v>5</v>
      </c>
      <c r="B175" t="s">
        <v>338</v>
      </c>
      <c r="C175" t="s">
        <v>345</v>
      </c>
      <c r="D175" t="s">
        <v>147</v>
      </c>
      <c r="E175" t="s">
        <v>346</v>
      </c>
      <c r="F175" t="s">
        <v>45</v>
      </c>
      <c r="G175">
        <v>80</v>
      </c>
      <c r="H175">
        <v>2468.84</v>
      </c>
      <c r="J175">
        <v>3118</v>
      </c>
      <c r="L175">
        <f>VLOOKUP(D175,运费!B:C,2,0)</f>
        <v>70</v>
      </c>
      <c r="M175" s="8">
        <f t="shared" si="3"/>
        <v>172818.80000000002</v>
      </c>
      <c r="N175" s="8" cm="1">
        <f t="array" ref="N175">(_xlfn.IFS(J175&gt;=4300,570/550*J175,J175&gt;=3800,0.0806*J175,J175&gt;=3300,0.0706*J175,J175&gt;=2500,0.0676*J175,TRUE,0.02*J175)+10)*H175</f>
        <v>545062.594912</v>
      </c>
    </row>
    <row r="176" spans="1:15" x14ac:dyDescent="0.15">
      <c r="A176">
        <v>6</v>
      </c>
      <c r="B176" t="s">
        <v>338</v>
      </c>
      <c r="C176" t="s">
        <v>320</v>
      </c>
      <c r="D176" t="s">
        <v>321</v>
      </c>
      <c r="E176" t="s">
        <v>347</v>
      </c>
      <c r="F176" t="s">
        <v>45</v>
      </c>
      <c r="G176">
        <v>735</v>
      </c>
      <c r="H176">
        <v>22748.55</v>
      </c>
      <c r="J176">
        <v>3931</v>
      </c>
      <c r="L176">
        <f>VLOOKUP(D176,运费!B:C,2,0)</f>
        <v>68</v>
      </c>
      <c r="M176" s="8">
        <f t="shared" si="3"/>
        <v>1546901.4</v>
      </c>
      <c r="N176" s="8" cm="1">
        <f t="array" ref="N176">(_xlfn.IFS(J176&gt;=4300,570/550*J176,J176&gt;=3800,0.0806*J176,J176&gt;=3300,0.0706*J176,J176&gt;=2500,0.0676*J176,TRUE,0.02*J176)+10)*H176</f>
        <v>7435104.2340300009</v>
      </c>
    </row>
    <row r="177" spans="1:15" x14ac:dyDescent="0.15">
      <c r="A177">
        <v>7</v>
      </c>
      <c r="B177" t="s">
        <v>338</v>
      </c>
      <c r="C177" t="s">
        <v>348</v>
      </c>
      <c r="D177" t="s">
        <v>207</v>
      </c>
      <c r="E177" t="s">
        <v>349</v>
      </c>
      <c r="F177" t="s">
        <v>45</v>
      </c>
      <c r="G177">
        <v>18</v>
      </c>
      <c r="H177">
        <v>528.74</v>
      </c>
      <c r="J177" t="e">
        <v>#N/A</v>
      </c>
      <c r="L177">
        <f>VLOOKUP(D177,运费!B:C,2,0)</f>
        <v>113</v>
      </c>
      <c r="M177" s="8">
        <f t="shared" si="3"/>
        <v>59747.62</v>
      </c>
      <c r="N177" s="8" t="e" cm="1">
        <f t="array" ref="N177">(_xlfn.IFS(J177&gt;=4300,570/550*J177,J177&gt;=3800,0.0806*J177,J177&gt;=3300,0.0706*J177,J177&gt;=2500,0.0676*J177,TRUE,0.02*J177)+10)*H177</f>
        <v>#N/A</v>
      </c>
    </row>
    <row r="178" spans="1:15" x14ac:dyDescent="0.15">
      <c r="A178">
        <v>8</v>
      </c>
      <c r="B178" t="s">
        <v>338</v>
      </c>
      <c r="C178" t="s">
        <v>350</v>
      </c>
      <c r="D178" t="s">
        <v>56</v>
      </c>
      <c r="E178" t="s">
        <v>351</v>
      </c>
      <c r="F178" t="s">
        <v>12</v>
      </c>
      <c r="G178">
        <v>187</v>
      </c>
      <c r="H178">
        <v>5767.56</v>
      </c>
      <c r="J178">
        <v>4648</v>
      </c>
      <c r="L178">
        <f>VLOOKUP(D178,运费!B:C,2,0)</f>
        <v>67</v>
      </c>
      <c r="M178" s="8">
        <f t="shared" si="3"/>
        <v>386426.52</v>
      </c>
      <c r="N178" s="8" cm="1">
        <f t="array" ref="N178">(_xlfn.IFS(J178&gt;=4300,570/550*J178,J178&gt;=3800,0.0806*J178,J178&gt;=3300,0.0706*J178,J178&gt;=2500,0.0676*J178,TRUE,0.02*J178)+10)*H178</f>
        <v>27840116.984727275</v>
      </c>
    </row>
    <row r="179" spans="1:15" x14ac:dyDescent="0.15">
      <c r="A179">
        <v>9</v>
      </c>
      <c r="B179" t="s">
        <v>338</v>
      </c>
      <c r="C179" t="s">
        <v>352</v>
      </c>
      <c r="D179" t="s">
        <v>294</v>
      </c>
      <c r="E179" t="s">
        <v>353</v>
      </c>
      <c r="F179" t="s">
        <v>12</v>
      </c>
      <c r="G179">
        <v>415</v>
      </c>
      <c r="H179">
        <v>11977.36</v>
      </c>
      <c r="I179">
        <f>H179/0.98</f>
        <v>12221.795918367348</v>
      </c>
      <c r="J179">
        <v>3570</v>
      </c>
      <c r="K179">
        <f>J179+200</f>
        <v>3770</v>
      </c>
      <c r="L179">
        <f>VLOOKUP(D179,运费!B:C,2,0)</f>
        <v>175.5</v>
      </c>
      <c r="M179" s="8">
        <f t="shared" si="3"/>
        <v>2102026.6800000002</v>
      </c>
      <c r="N179" s="8" cm="1">
        <f t="array" ref="N179">(_xlfn.IFS(J179&gt;=4300,570/5500*J179,J179&gt;=3800,0.0806*J179,J179&gt;=3300,0.0706*J179,J179&gt;=2500,0.0676*J179,TRUE,0.02*J179)+10)*H179</f>
        <v>3138571.3691199999</v>
      </c>
      <c r="O179" s="8" cm="1">
        <f t="array" ref="O179">(_xlfn.IFS(K179&gt;4300,570/5500*K179,K179&gt;=3800,0.0806*K179,K179&gt;=3300,0.0706*K179,K179&gt;=2500,0.0676*K179,TRUE,0.02*K179)+10)*I179</f>
        <v>3375195.6044081636</v>
      </c>
    </row>
    <row r="180" spans="1:15" x14ac:dyDescent="0.15">
      <c r="A180">
        <v>10</v>
      </c>
      <c r="B180" t="s">
        <v>338</v>
      </c>
      <c r="C180" t="s">
        <v>354</v>
      </c>
      <c r="D180" t="s">
        <v>119</v>
      </c>
      <c r="E180" t="s">
        <v>355</v>
      </c>
      <c r="F180" t="s">
        <v>12</v>
      </c>
      <c r="G180">
        <v>62</v>
      </c>
      <c r="H180">
        <v>1957.22</v>
      </c>
      <c r="J180">
        <v>5259</v>
      </c>
      <c r="L180">
        <f>VLOOKUP(D180,运费!B:C,2,0)</f>
        <v>105</v>
      </c>
      <c r="M180" s="8">
        <f t="shared" si="3"/>
        <v>205508.1</v>
      </c>
      <c r="N180" s="8" cm="1">
        <f t="array" ref="N180">(_xlfn.IFS(J180&gt;=4300,570/550*J180,J180&gt;=3800,0.0806*J180,J180&gt;=3300,0.0706*J180,J180&gt;=2500,0.0676*J180,TRUE,0.02*J180)+10)*H180</f>
        <v>10686883.815636363</v>
      </c>
    </row>
    <row r="181" spans="1:15" x14ac:dyDescent="0.15">
      <c r="A181">
        <v>11</v>
      </c>
      <c r="B181" t="s">
        <v>338</v>
      </c>
      <c r="C181" t="s">
        <v>356</v>
      </c>
      <c r="D181" t="s">
        <v>264</v>
      </c>
      <c r="E181" t="s">
        <v>357</v>
      </c>
      <c r="F181" t="s">
        <v>12</v>
      </c>
      <c r="G181">
        <v>62</v>
      </c>
      <c r="H181">
        <v>1958.6</v>
      </c>
      <c r="J181">
        <v>5111</v>
      </c>
      <c r="L181">
        <f>VLOOKUP(D181,运费!B:C,2,0)</f>
        <v>114.09</v>
      </c>
      <c r="M181" s="8">
        <f t="shared" si="3"/>
        <v>223456.674</v>
      </c>
      <c r="N181" s="8" cm="1">
        <f t="array" ref="N181">(_xlfn.IFS(J181&gt;=4300,570/550*J181,J181&gt;=3800,0.0806*J181,J181&gt;=3300,0.0706*J181,J181&gt;=2500,0.0676*J181,TRUE,0.02*J181)+10)*H181</f>
        <v>10394005.312727273</v>
      </c>
    </row>
    <row r="182" spans="1:15" x14ac:dyDescent="0.15">
      <c r="A182">
        <v>12</v>
      </c>
      <c r="B182" t="s">
        <v>338</v>
      </c>
      <c r="C182" t="s">
        <v>358</v>
      </c>
      <c r="D182" t="s">
        <v>160</v>
      </c>
      <c r="E182" t="s">
        <v>359</v>
      </c>
      <c r="F182" t="s">
        <v>12</v>
      </c>
      <c r="G182">
        <v>1078</v>
      </c>
      <c r="H182">
        <v>34538.769999999997</v>
      </c>
      <c r="J182">
        <v>2993</v>
      </c>
      <c r="L182">
        <f>VLOOKUP(D182,运费!B:C,2,0)</f>
        <v>82</v>
      </c>
      <c r="M182" s="8">
        <f t="shared" si="3"/>
        <v>2832179.1399999997</v>
      </c>
      <c r="N182" s="8" cm="1">
        <f t="array" ref="N182">(_xlfn.IFS(J182&gt;=4300,570/5500*J182,J182&gt;=3800,0.0806*J182,J182&gt;=3300,0.0706*J182,J182&gt;=2500,0.0676*J182,TRUE,0.02*J182)+10)*H182</f>
        <v>7333506.5100359991</v>
      </c>
    </row>
    <row r="183" spans="1:15" x14ac:dyDescent="0.15">
      <c r="A183">
        <v>13</v>
      </c>
      <c r="B183" t="s">
        <v>338</v>
      </c>
      <c r="C183" t="s">
        <v>360</v>
      </c>
      <c r="D183" t="s">
        <v>89</v>
      </c>
      <c r="E183" t="s">
        <v>361</v>
      </c>
      <c r="F183" t="s">
        <v>12</v>
      </c>
      <c r="G183">
        <v>336</v>
      </c>
      <c r="H183">
        <v>9716.3799999999992</v>
      </c>
      <c r="I183">
        <f t="shared" ref="I183:I184" si="4">H183/0.98</f>
        <v>9914.6734693877552</v>
      </c>
      <c r="J183">
        <v>4697</v>
      </c>
      <c r="K183">
        <f t="shared" ref="K183:K184" si="5">J183+200</f>
        <v>4897</v>
      </c>
      <c r="L183">
        <f>VLOOKUP(D183,运费!B:C,2,0)</f>
        <v>108.51</v>
      </c>
      <c r="M183" s="8">
        <f t="shared" si="3"/>
        <v>1054324.3938</v>
      </c>
      <c r="N183" s="8" cm="1">
        <f t="array" ref="N183">(_xlfn.IFS(J183&gt;=4300,570/5500*J183,J183&gt;=3800,0.0806*J183,J183&gt;=3300,0.0706*J183,J183&gt;=2500,0.0676*J183,TRUE,0.02*J183)+10)*H183</f>
        <v>4826903.2564000003</v>
      </c>
      <c r="O183" s="8" cm="1">
        <f t="array" ref="O183">(_xlfn.IFS(K183&gt;4300,570/5500*K183,K183&gt;=3800,0.0806*K183,K183&gt;=3300,0.0706*K183,K183&gt;=2500,0.0676*K183,TRUE,0.02*K183)+10)*I183</f>
        <v>5130915.627124304</v>
      </c>
    </row>
    <row r="184" spans="1:15" x14ac:dyDescent="0.15">
      <c r="A184">
        <v>14</v>
      </c>
      <c r="B184" t="s">
        <v>338</v>
      </c>
      <c r="C184" t="s">
        <v>334</v>
      </c>
      <c r="D184" t="s">
        <v>89</v>
      </c>
      <c r="E184" t="s">
        <v>361</v>
      </c>
      <c r="F184" t="s">
        <v>12</v>
      </c>
      <c r="G184">
        <v>318</v>
      </c>
      <c r="H184">
        <v>9169.64</v>
      </c>
      <c r="I184">
        <f t="shared" si="4"/>
        <v>9356.775510204081</v>
      </c>
      <c r="J184">
        <v>4697</v>
      </c>
      <c r="K184">
        <f t="shared" si="5"/>
        <v>4897</v>
      </c>
      <c r="L184">
        <f>VLOOKUP(D184,运费!B:C,2,0)</f>
        <v>108.51</v>
      </c>
      <c r="M184" s="8">
        <f t="shared" si="3"/>
        <v>994997.63639999996</v>
      </c>
      <c r="N184" s="8" cm="1">
        <f t="array" ref="N184">(_xlfn.IFS(J184&gt;=4300,570/5500*J184,J184&gt;=3800,0.0806*J184,J184&gt;=3300,0.0706*J184,J184&gt;=2500,0.0676*J184,TRUE,0.02*J184)+10)*H184</f>
        <v>4555293.7592000002</v>
      </c>
      <c r="O184" s="8" cm="1">
        <f t="array" ref="O184">(_xlfn.IFS(K184&gt;4300,570/5500*K184,K184&gt;=3800,0.0806*K184,K184&gt;=3300,0.0706*K184,K184&gt;=2500,0.0676*K184,TRUE,0.02*K184)+10)*I184</f>
        <v>4842199.3758070497</v>
      </c>
    </row>
    <row r="185" spans="1:15" x14ac:dyDescent="0.15">
      <c r="A185">
        <v>15</v>
      </c>
      <c r="B185" t="s">
        <v>338</v>
      </c>
      <c r="C185" t="s">
        <v>362</v>
      </c>
      <c r="D185" t="s">
        <v>96</v>
      </c>
      <c r="E185" t="s">
        <v>363</v>
      </c>
      <c r="F185" t="s">
        <v>12</v>
      </c>
      <c r="G185">
        <v>635</v>
      </c>
      <c r="H185">
        <v>19826.939999999999</v>
      </c>
      <c r="J185">
        <v>4573</v>
      </c>
      <c r="L185">
        <f>VLOOKUP(D185,运费!B:C,2,0)</f>
        <v>60.5</v>
      </c>
      <c r="M185" s="8">
        <f t="shared" si="3"/>
        <v>1199529.8699999999</v>
      </c>
      <c r="N185" s="8" cm="1">
        <f t="array" ref="N185">(_xlfn.IFS(J185&gt;=4300,570/5500*J185,J185&gt;=3800,0.0806*J185,J185&gt;=3300,0.0706*J185,J185&gt;=2500,0.0676*J185,TRUE,0.02*J185)+10)*H185</f>
        <v>9594833.049709091</v>
      </c>
    </row>
    <row r="186" spans="1:15" x14ac:dyDescent="0.15">
      <c r="A186">
        <v>1</v>
      </c>
      <c r="B186" t="s">
        <v>364</v>
      </c>
      <c r="C186" t="s">
        <v>309</v>
      </c>
      <c r="D186" t="s">
        <v>10</v>
      </c>
      <c r="E186" t="s">
        <v>365</v>
      </c>
      <c r="F186" t="s">
        <v>12</v>
      </c>
      <c r="G186">
        <v>600</v>
      </c>
      <c r="H186">
        <v>17346.97</v>
      </c>
      <c r="I186">
        <f>H186/0.98</f>
        <v>17700.989795918369</v>
      </c>
      <c r="J186">
        <v>2228</v>
      </c>
      <c r="K186">
        <f>J186+200</f>
        <v>2428</v>
      </c>
      <c r="L186">
        <f>VLOOKUP(D186,运费!B:C,2,0)</f>
        <v>147.1</v>
      </c>
      <c r="M186" s="8">
        <f t="shared" si="3"/>
        <v>2551739.287</v>
      </c>
      <c r="N186" s="8" cm="1">
        <f t="array" ref="N186">(_xlfn.IFS(J186&gt;=4300,570/5500*J186,J186&gt;=3800,0.0806*J186,J186&gt;=3300,0.0706*J186,J186&gt;=2500,0.0676*J186,TRUE,0.02*J186)+10)*H186</f>
        <v>946450.68320000009</v>
      </c>
      <c r="O186" s="8" cm="1">
        <f t="array" ref="O186">(_xlfn.IFS(K186&gt;4300,570/5500*K186,K186&gt;=3800,0.0806*K186,K186&gt;=3300,0.0706*K186,K186&gt;=2500,0.0676*K186,TRUE,0.02*K186)+10)*I186</f>
        <v>1036569.9624489797</v>
      </c>
    </row>
    <row r="187" spans="1:15" x14ac:dyDescent="0.15">
      <c r="A187">
        <v>2</v>
      </c>
      <c r="B187" t="s">
        <v>364</v>
      </c>
      <c r="C187" t="s">
        <v>366</v>
      </c>
      <c r="D187" t="s">
        <v>226</v>
      </c>
      <c r="E187" t="s">
        <v>367</v>
      </c>
      <c r="F187" t="s">
        <v>12</v>
      </c>
      <c r="G187">
        <v>160</v>
      </c>
      <c r="H187">
        <v>4961.08</v>
      </c>
      <c r="J187">
        <v>6000</v>
      </c>
      <c r="L187">
        <f>VLOOKUP(D187,运费!B:C,2,0)</f>
        <v>78</v>
      </c>
      <c r="M187" s="8">
        <f t="shared" si="3"/>
        <v>386964.24</v>
      </c>
      <c r="N187" s="8" cm="1">
        <f t="array" ref="N187">(_xlfn.IFS(J187&gt;=4300,570/550*J187,J187&gt;=3800,0.0806*J187,J187&gt;=3300,0.0706*J187,J187&gt;=2500,0.0676*J187,TRUE,0.02*J187)+10)*H187</f>
        <v>30898508.254545454</v>
      </c>
    </row>
    <row r="188" spans="1:15" x14ac:dyDescent="0.15">
      <c r="A188">
        <v>3</v>
      </c>
      <c r="B188" t="s">
        <v>364</v>
      </c>
      <c r="C188" t="s">
        <v>368</v>
      </c>
      <c r="D188" t="s">
        <v>30</v>
      </c>
      <c r="E188" t="s">
        <v>369</v>
      </c>
      <c r="F188" t="s">
        <v>12</v>
      </c>
      <c r="G188">
        <v>461</v>
      </c>
      <c r="H188">
        <v>14269.66</v>
      </c>
      <c r="J188">
        <v>4587</v>
      </c>
      <c r="L188">
        <f>VLOOKUP(D188,运费!B:C,2,0)</f>
        <v>78</v>
      </c>
      <c r="M188" s="8">
        <f t="shared" si="3"/>
        <v>1113033.48</v>
      </c>
      <c r="N188" s="8" cm="1">
        <f t="array" ref="N188">(_xlfn.IFS(J188&gt;=4300,570/550*J188,J188&gt;=3800,0.0806*J188,J188&gt;=3300,0.0706*J188,J188&gt;=2500,0.0676*J188,TRUE,0.02*J188)+10)*H188</f>
        <v>67977806.307999998</v>
      </c>
    </row>
    <row r="189" spans="1:15" x14ac:dyDescent="0.15">
      <c r="A189">
        <v>4</v>
      </c>
      <c r="B189" t="s">
        <v>364</v>
      </c>
      <c r="C189" t="s">
        <v>370</v>
      </c>
      <c r="D189" t="s">
        <v>33</v>
      </c>
      <c r="E189" t="s">
        <v>371</v>
      </c>
      <c r="F189" t="s">
        <v>12</v>
      </c>
      <c r="G189">
        <v>394</v>
      </c>
      <c r="H189">
        <v>12577.48</v>
      </c>
      <c r="J189">
        <v>4422</v>
      </c>
      <c r="L189">
        <f>VLOOKUP(D189,运费!B:C,2,0)</f>
        <v>58</v>
      </c>
      <c r="M189" s="8">
        <f t="shared" si="3"/>
        <v>729493.84</v>
      </c>
      <c r="N189" s="8" cm="1">
        <f t="array" ref="N189">(_xlfn.IFS(J189&gt;=4300,570/5500*J189,J189&gt;=3800,0.0806*J189,J189&gt;=3300,0.0706*J189,J189&gt;=2500,0.0676*J189,TRUE,0.02*J189)+10)*H189</f>
        <v>5889782.3344000001</v>
      </c>
    </row>
    <row r="190" spans="1:15" x14ac:dyDescent="0.15">
      <c r="A190">
        <v>5</v>
      </c>
      <c r="B190" t="s">
        <v>364</v>
      </c>
      <c r="C190" t="s">
        <v>372</v>
      </c>
      <c r="D190" t="s">
        <v>147</v>
      </c>
      <c r="E190" t="s">
        <v>373</v>
      </c>
      <c r="F190" t="s">
        <v>45</v>
      </c>
      <c r="G190">
        <v>93</v>
      </c>
      <c r="H190">
        <v>2971.2</v>
      </c>
      <c r="J190">
        <v>3340</v>
      </c>
      <c r="L190">
        <f>VLOOKUP(D190,运费!B:C,2,0)</f>
        <v>70</v>
      </c>
      <c r="M190" s="8">
        <f t="shared" si="3"/>
        <v>207984</v>
      </c>
      <c r="N190" s="8" cm="1">
        <f t="array" ref="N190">(_xlfn.IFS(J190&gt;=4300,570/550*J190,J190&gt;=3800,0.0806*J190,J190&gt;=3300,0.0706*J190,J190&gt;=2500,0.0676*J190,TRUE,0.02*J190)+10)*H190</f>
        <v>730332.84479999985</v>
      </c>
    </row>
    <row r="191" spans="1:15" x14ac:dyDescent="0.15">
      <c r="A191">
        <v>6</v>
      </c>
      <c r="B191" t="s">
        <v>364</v>
      </c>
      <c r="C191" t="s">
        <v>374</v>
      </c>
      <c r="D191" t="s">
        <v>321</v>
      </c>
      <c r="E191" t="s">
        <v>375</v>
      </c>
      <c r="F191" t="s">
        <v>45</v>
      </c>
      <c r="G191">
        <v>942</v>
      </c>
      <c r="H191">
        <v>29737.279999999999</v>
      </c>
      <c r="J191">
        <v>3814</v>
      </c>
      <c r="L191">
        <f>VLOOKUP(D191,运费!B:C,2,0)</f>
        <v>68</v>
      </c>
      <c r="M191" s="8">
        <f t="shared" si="3"/>
        <v>2022135.04</v>
      </c>
      <c r="N191" s="8" cm="1">
        <f t="array" ref="N191">(_xlfn.IFS(J191&gt;=4300,570/550*J191,J191&gt;=3800,0.0806*J191,J191&gt;=3300,0.0706*J191,J191&gt;=2500,0.0676*J191,TRUE,0.02*J191)+10)*H191</f>
        <v>9438862.465152001</v>
      </c>
    </row>
    <row r="192" spans="1:15" x14ac:dyDescent="0.15">
      <c r="A192">
        <v>7</v>
      </c>
      <c r="B192" t="s">
        <v>364</v>
      </c>
      <c r="C192" t="s">
        <v>376</v>
      </c>
      <c r="D192" t="s">
        <v>56</v>
      </c>
      <c r="E192" t="s">
        <v>377</v>
      </c>
      <c r="F192" t="s">
        <v>12</v>
      </c>
      <c r="G192">
        <v>199</v>
      </c>
      <c r="H192">
        <v>5779.38</v>
      </c>
      <c r="J192">
        <v>4731</v>
      </c>
      <c r="L192">
        <f>VLOOKUP(D192,运费!B:C,2,0)</f>
        <v>67</v>
      </c>
      <c r="M192" s="8">
        <f t="shared" si="3"/>
        <v>387218.46</v>
      </c>
      <c r="N192" s="8" cm="1">
        <f t="array" ref="N192">(_xlfn.IFS(J192&gt;=4300,570/550*J192,J192&gt;=3800,0.0806*J192,J192&gt;=3300,0.0706*J192,J192&gt;=2500,0.0676*J192,TRUE,0.02*J192)+10)*H192</f>
        <v>28394304.099272728</v>
      </c>
    </row>
    <row r="193" spans="1:15" x14ac:dyDescent="0.15">
      <c r="A193">
        <v>8</v>
      </c>
      <c r="B193" t="s">
        <v>364</v>
      </c>
      <c r="C193" t="s">
        <v>352</v>
      </c>
      <c r="D193" t="s">
        <v>294</v>
      </c>
      <c r="E193" t="s">
        <v>378</v>
      </c>
      <c r="F193" t="s">
        <v>12</v>
      </c>
      <c r="G193">
        <v>795</v>
      </c>
      <c r="H193">
        <v>22973.040000000001</v>
      </c>
      <c r="I193">
        <f t="shared" ref="I193:I195" si="6">H193/0.98</f>
        <v>23441.87755102041</v>
      </c>
      <c r="J193">
        <v>3748</v>
      </c>
      <c r="K193">
        <f t="shared" ref="K193:K195" si="7">J193+200</f>
        <v>3948</v>
      </c>
      <c r="L193">
        <f>VLOOKUP(D193,运费!B:C,2,0)</f>
        <v>175.5</v>
      </c>
      <c r="M193" s="8">
        <f t="shared" si="3"/>
        <v>4031768.52</v>
      </c>
      <c r="N193" s="8" cm="1">
        <f t="array" ref="N193">(_xlfn.IFS(J193&gt;=4300,570/5500*J193,J193&gt;=3800,0.0806*J193,J193&gt;=3300,0.0706*J193,J193&gt;=2500,0.0676*J193,TRUE,0.02*J193)+10)*H193</f>
        <v>6308598.9467519997</v>
      </c>
      <c r="O193" s="8" cm="1">
        <f t="array" ref="O193">(_xlfn.IFS(K193&gt;4300,570/5500*K193,K193&gt;=3800,0.0806*K193,K193&gt;=3300,0.0706*K193,K193&gt;=2500,0.0676*K193,TRUE,0.02*K193)+10)*I193</f>
        <v>7693830.5007673474</v>
      </c>
    </row>
    <row r="194" spans="1:15" x14ac:dyDescent="0.15">
      <c r="A194">
        <v>9</v>
      </c>
      <c r="B194" t="s">
        <v>364</v>
      </c>
      <c r="C194" t="s">
        <v>379</v>
      </c>
      <c r="D194" t="s">
        <v>294</v>
      </c>
      <c r="E194" t="s">
        <v>378</v>
      </c>
      <c r="F194" t="s">
        <v>12</v>
      </c>
      <c r="G194">
        <v>247</v>
      </c>
      <c r="H194">
        <v>7102.9</v>
      </c>
      <c r="I194">
        <f t="shared" si="6"/>
        <v>7247.8571428571422</v>
      </c>
      <c r="J194">
        <v>3748</v>
      </c>
      <c r="K194">
        <f t="shared" si="7"/>
        <v>3948</v>
      </c>
      <c r="L194">
        <f>VLOOKUP(D194,运费!B:C,2,0)</f>
        <v>175.5</v>
      </c>
      <c r="M194" s="8">
        <f t="shared" si="3"/>
        <v>1246558.95</v>
      </c>
      <c r="N194" s="8" cm="1">
        <f t="array" ref="N194">(_xlfn.IFS(J194&gt;=4300,570/5500*J194,J194&gt;=3800,0.0806*J194,J194&gt;=3300,0.0706*J194,J194&gt;=2500,0.0676*J194,TRUE,0.02*J194)+10)*H194</f>
        <v>1950518.8455199997</v>
      </c>
      <c r="O194" s="8" cm="1">
        <f t="array" ref="O194">(_xlfn.IFS(K194&gt;4300,570/5500*K194,K194&gt;=3800,0.0806*K194,K194&gt;=3300,0.0706*K194,K194&gt;=2500,0.0676*K194,TRUE,0.02*K194)+10)*I194</f>
        <v>2378810.495428571</v>
      </c>
    </row>
    <row r="195" spans="1:15" x14ac:dyDescent="0.15">
      <c r="A195">
        <v>10</v>
      </c>
      <c r="B195" t="s">
        <v>364</v>
      </c>
      <c r="C195" t="s">
        <v>327</v>
      </c>
      <c r="D195" t="s">
        <v>294</v>
      </c>
      <c r="E195" t="s">
        <v>378</v>
      </c>
      <c r="F195" t="s">
        <v>12</v>
      </c>
      <c r="G195">
        <v>9</v>
      </c>
      <c r="H195">
        <v>261.98</v>
      </c>
      <c r="I195">
        <f t="shared" si="6"/>
        <v>267.32653061224494</v>
      </c>
      <c r="J195">
        <v>3748</v>
      </c>
      <c r="K195">
        <f t="shared" si="7"/>
        <v>3948</v>
      </c>
      <c r="L195">
        <f>VLOOKUP(D195,运费!B:C,2,0)</f>
        <v>175.5</v>
      </c>
      <c r="M195" s="8">
        <f t="shared" ref="M195:M216" si="8">H195*L195</f>
        <v>45977.490000000005</v>
      </c>
      <c r="N195" s="8" cm="1">
        <f t="array" ref="N195">(_xlfn.IFS(J195&gt;=4300,570/5500*J195,J195&gt;=3800,0.0806*J195,J195&gt;=3300,0.0706*J195,J195&gt;=2500,0.0676*J195,TRUE,0.02*J195)+10)*H195</f>
        <v>71942.013424000004</v>
      </c>
      <c r="O195" s="8" cm="1">
        <f t="array" ref="O195">(_xlfn.IFS(K195&gt;4300,570/5500*K195,K195&gt;=3800,0.0806*K195,K195&gt;=3300,0.0706*K195,K195&gt;=2500,0.0676*K195,TRUE,0.02*K195)+10)*I195</f>
        <v>87738.919820408177</v>
      </c>
    </row>
    <row r="196" spans="1:15" x14ac:dyDescent="0.15">
      <c r="A196">
        <v>11</v>
      </c>
      <c r="B196" t="s">
        <v>364</v>
      </c>
      <c r="C196" t="s">
        <v>380</v>
      </c>
      <c r="D196" t="s">
        <v>119</v>
      </c>
      <c r="E196" t="s">
        <v>381</v>
      </c>
      <c r="F196" t="s">
        <v>12</v>
      </c>
      <c r="G196">
        <v>86</v>
      </c>
      <c r="H196">
        <v>2694.42</v>
      </c>
      <c r="J196">
        <v>5105</v>
      </c>
      <c r="L196">
        <f>VLOOKUP(D196,运费!B:C,2,0)</f>
        <v>105</v>
      </c>
      <c r="M196" s="8">
        <f t="shared" si="8"/>
        <v>282914.10000000003</v>
      </c>
      <c r="N196" s="8" cm="1">
        <f t="array" ref="N196">(_xlfn.IFS(J196&gt;=4300,570/550*J196,J196&gt;=3800,0.0806*J196,J196&gt;=3300,0.0706*J196,J196&gt;=2500,0.0676*J196,TRUE,0.02*J196)+10)*H196</f>
        <v>14282140.630909093</v>
      </c>
    </row>
    <row r="197" spans="1:15" x14ac:dyDescent="0.15">
      <c r="A197">
        <v>12</v>
      </c>
      <c r="B197" t="s">
        <v>364</v>
      </c>
      <c r="C197" t="s">
        <v>382</v>
      </c>
      <c r="D197" t="s">
        <v>69</v>
      </c>
      <c r="E197" t="s">
        <v>383</v>
      </c>
      <c r="F197" t="s">
        <v>12</v>
      </c>
      <c r="G197">
        <v>95</v>
      </c>
      <c r="H197">
        <v>2952.84</v>
      </c>
      <c r="J197">
        <v>4478</v>
      </c>
      <c r="L197">
        <f>VLOOKUP(D197,运费!B:C,2,0)</f>
        <v>104.5</v>
      </c>
      <c r="M197" s="8">
        <f t="shared" si="8"/>
        <v>308571.78000000003</v>
      </c>
      <c r="N197" s="8" cm="1">
        <f t="array" ref="N197">(_xlfn.IFS(J197&gt;=4300,570/550*J197,J197&gt;=3800,0.0806*J197,J197&gt;=3300,0.0706*J197,J197&gt;=2500,0.0676*J197,TRUE,0.02*J197)+10)*H197</f>
        <v>13733175.648000002</v>
      </c>
    </row>
    <row r="198" spans="1:15" x14ac:dyDescent="0.15">
      <c r="A198">
        <v>13</v>
      </c>
      <c r="B198" t="s">
        <v>364</v>
      </c>
      <c r="C198" t="s">
        <v>384</v>
      </c>
      <c r="D198" t="s">
        <v>264</v>
      </c>
      <c r="E198" t="s">
        <v>385</v>
      </c>
      <c r="F198" t="s">
        <v>12</v>
      </c>
      <c r="G198">
        <v>47</v>
      </c>
      <c r="H198">
        <v>1485.52</v>
      </c>
      <c r="J198">
        <v>4953</v>
      </c>
      <c r="L198">
        <f>VLOOKUP(D198,运费!B:C,2,0)</f>
        <v>114.09</v>
      </c>
      <c r="M198" s="8">
        <f t="shared" si="8"/>
        <v>169482.9768</v>
      </c>
      <c r="N198" s="8" cm="1">
        <f t="array" ref="N198">(_xlfn.IFS(J198&gt;=4300,570/550*J198,J198&gt;=3800,0.0806*J198,J198&gt;=3300,0.0706*J198,J198&gt;=2500,0.0676*J198,TRUE,0.02*J198)+10)*H198</f>
        <v>7640191.4167272728</v>
      </c>
    </row>
    <row r="199" spans="1:15" x14ac:dyDescent="0.15">
      <c r="A199">
        <v>14</v>
      </c>
      <c r="B199" t="s">
        <v>364</v>
      </c>
      <c r="C199" t="s">
        <v>386</v>
      </c>
      <c r="D199" t="s">
        <v>160</v>
      </c>
      <c r="E199" t="s">
        <v>387</v>
      </c>
      <c r="F199" t="s">
        <v>12</v>
      </c>
      <c r="G199">
        <v>768</v>
      </c>
      <c r="H199">
        <v>24609.38</v>
      </c>
      <c r="J199">
        <v>3080</v>
      </c>
      <c r="L199">
        <f>VLOOKUP(D199,运费!B:C,2,0)</f>
        <v>82</v>
      </c>
      <c r="M199" s="8">
        <f t="shared" si="8"/>
        <v>2017969.1600000001</v>
      </c>
      <c r="N199" s="8" cm="1">
        <f t="array" ref="N199">(_xlfn.IFS(J199&gt;=4300,570/5500*J199,J199&gt;=3800,0.0806*J199,J199&gt;=3300,0.0706*J199,J199&gt;=2500,0.0676*J199,TRUE,0.02*J199)+10)*H199</f>
        <v>5369963.5910399994</v>
      </c>
    </row>
    <row r="200" spans="1:15" x14ac:dyDescent="0.15">
      <c r="A200">
        <v>15</v>
      </c>
      <c r="B200" t="s">
        <v>364</v>
      </c>
      <c r="C200" t="s">
        <v>388</v>
      </c>
      <c r="D200" t="s">
        <v>86</v>
      </c>
      <c r="E200" t="s">
        <v>389</v>
      </c>
      <c r="F200" t="s">
        <v>12</v>
      </c>
      <c r="G200">
        <v>86</v>
      </c>
      <c r="H200">
        <v>2448.94</v>
      </c>
      <c r="I200">
        <f t="shared" ref="I200:I201" si="9">H200/0.98</f>
        <v>2498.9183673469388</v>
      </c>
      <c r="J200">
        <v>2855</v>
      </c>
      <c r="K200">
        <f t="shared" ref="K200:K201" si="10">J200+200</f>
        <v>3055</v>
      </c>
      <c r="L200">
        <f>VLOOKUP(D200,运费!B:C,2,0)</f>
        <v>116.8</v>
      </c>
      <c r="M200" s="8">
        <f t="shared" si="8"/>
        <v>286036.19199999998</v>
      </c>
      <c r="N200" s="8" cm="1">
        <f t="array" ref="N200">(_xlfn.IFS(J200&gt;=4300,570/5500*J200,J200&gt;=3800,0.0806*J200,J200&gt;=3300,0.0706*J200,J200&gt;=2500,0.0676*J200,TRUE,0.02*J200)+10)*H200</f>
        <v>497129.92212</v>
      </c>
      <c r="O200" s="8" cm="1">
        <f t="array" ref="O200">(_xlfn.IFS(K200&gt;4300,570/5500*K200,K200&gt;=3800,0.0806*K200,K200&gt;=3300,0.0706*K200,K200&gt;=2500,0.0676*K200,TRUE,0.02*K200)+10)*I200</f>
        <v>541060.80706122448</v>
      </c>
    </row>
    <row r="201" spans="1:15" x14ac:dyDescent="0.15">
      <c r="A201">
        <v>16</v>
      </c>
      <c r="B201" t="s">
        <v>364</v>
      </c>
      <c r="C201" t="s">
        <v>360</v>
      </c>
      <c r="D201" t="s">
        <v>89</v>
      </c>
      <c r="E201" t="s">
        <v>390</v>
      </c>
      <c r="F201" t="s">
        <v>12</v>
      </c>
      <c r="G201">
        <v>151</v>
      </c>
      <c r="H201">
        <v>4345.8599999999997</v>
      </c>
      <c r="I201">
        <f t="shared" si="9"/>
        <v>4434.5510204081629</v>
      </c>
      <c r="J201">
        <v>4237</v>
      </c>
      <c r="K201">
        <f t="shared" si="10"/>
        <v>4437</v>
      </c>
      <c r="L201">
        <f>VLOOKUP(D201,运费!B:C,2,0)</f>
        <v>108.51</v>
      </c>
      <c r="M201" s="8">
        <f t="shared" si="8"/>
        <v>471569.26860000001</v>
      </c>
      <c r="N201" s="8" cm="1">
        <f t="array" ref="N201">(_xlfn.IFS(J201&gt;=4300,570/5500*J201,J201&gt;=3800,0.0806*J201,J201&gt;=3300,0.0706*J201,J201&gt;=2500,0.0676*J201,TRUE,0.02*J201)+10)*H201</f>
        <v>1527579.3508919999</v>
      </c>
      <c r="O201" s="8" cm="1">
        <f t="array" ref="O201">(_xlfn.IFS(K201&gt;4300,570/5500*K201,K201&gt;=3800,0.0806*K201,K201&gt;=3300,0.0706*K201,K201&gt;=2500,0.0676*K201,TRUE,0.02*K201)+10)*I201</f>
        <v>2083505.2629684599</v>
      </c>
    </row>
    <row r="202" spans="1:15" x14ac:dyDescent="0.15">
      <c r="A202">
        <v>17</v>
      </c>
      <c r="B202" t="s">
        <v>364</v>
      </c>
      <c r="C202" t="s">
        <v>391</v>
      </c>
      <c r="D202" t="s">
        <v>96</v>
      </c>
      <c r="E202" t="s">
        <v>392</v>
      </c>
      <c r="F202" t="s">
        <v>12</v>
      </c>
      <c r="G202">
        <v>838</v>
      </c>
      <c r="H202">
        <v>26341.52</v>
      </c>
      <c r="J202">
        <v>4191</v>
      </c>
      <c r="L202">
        <f>VLOOKUP(D202,运费!B:C,2,0)</f>
        <v>60.5</v>
      </c>
      <c r="M202" s="8">
        <f t="shared" si="8"/>
        <v>1593661.96</v>
      </c>
      <c r="N202" s="8" cm="1">
        <f t="array" ref="N202">(_xlfn.IFS(J202&gt;=4300,570/5500*J202,J202&gt;=3800,0.0806*J202,J202&gt;=3300,0.0706*J202,J202&gt;=2500,0.0676*J202,TRUE,0.02*J202)+10)*H202</f>
        <v>9161438.4117920008</v>
      </c>
    </row>
    <row r="203" spans="1:15" x14ac:dyDescent="0.15">
      <c r="A203">
        <v>1</v>
      </c>
      <c r="B203" t="s">
        <v>393</v>
      </c>
      <c r="C203" t="s">
        <v>394</v>
      </c>
      <c r="D203" t="s">
        <v>10</v>
      </c>
      <c r="E203" t="s">
        <v>395</v>
      </c>
      <c r="F203" t="s">
        <v>12</v>
      </c>
      <c r="G203">
        <v>765</v>
      </c>
      <c r="H203">
        <v>22062.58</v>
      </c>
      <c r="I203">
        <f t="shared" ref="I203:I204" si="11">H203/0.98</f>
        <v>22512.836734693879</v>
      </c>
      <c r="J203">
        <v>2220</v>
      </c>
      <c r="K203">
        <f t="shared" ref="K203:K204" si="12">J203+200</f>
        <v>2420</v>
      </c>
      <c r="L203">
        <f>VLOOKUP(D203,运费!B:C,2,0)</f>
        <v>147.1</v>
      </c>
      <c r="M203" s="8">
        <f t="shared" si="8"/>
        <v>3245405.5180000002</v>
      </c>
      <c r="N203" s="8" cm="1">
        <f t="array" ref="N203">(_xlfn.IFS(J203&gt;=4300,570/5500*J203,J203&gt;=3800,0.0806*J203,J203&gt;=3300,0.0706*J203,J203&gt;=2500,0.0676*J203,TRUE,0.02*J203)+10)*H203</f>
        <v>1200204.352</v>
      </c>
      <c r="O203" s="8" cm="1">
        <f t="array" ref="O203">(_xlfn.IFS(K203&gt;4300,570/5500*K203,K203&gt;=3800,0.0806*K203,K203&gt;=3300,0.0706*K203,K203&gt;=2500,0.0676*K203,TRUE,0.02*K203)+10)*I203</f>
        <v>1314749.6653061225</v>
      </c>
    </row>
    <row r="204" spans="1:15" x14ac:dyDescent="0.15">
      <c r="A204">
        <v>2</v>
      </c>
      <c r="B204" t="s">
        <v>393</v>
      </c>
      <c r="C204" t="s">
        <v>309</v>
      </c>
      <c r="D204" t="s">
        <v>10</v>
      </c>
      <c r="E204" t="s">
        <v>395</v>
      </c>
      <c r="F204" t="s">
        <v>12</v>
      </c>
      <c r="G204">
        <v>243</v>
      </c>
      <c r="H204">
        <v>7026.64</v>
      </c>
      <c r="I204">
        <f t="shared" si="11"/>
        <v>7170.0408163265311</v>
      </c>
      <c r="J204">
        <v>2220</v>
      </c>
      <c r="K204">
        <f t="shared" si="12"/>
        <v>2420</v>
      </c>
      <c r="L204">
        <f>VLOOKUP(D204,运费!B:C,2,0)</f>
        <v>147.1</v>
      </c>
      <c r="M204" s="8">
        <f t="shared" si="8"/>
        <v>1033618.7440000001</v>
      </c>
      <c r="N204" s="8" cm="1">
        <f t="array" ref="N204">(_xlfn.IFS(J204&gt;=4300,570/5500*J204,J204&gt;=3800,0.0806*J204,J204&gt;=3300,0.0706*J204,J204&gt;=2500,0.0676*J204,TRUE,0.02*J204)+10)*H204</f>
        <v>382249.21600000001</v>
      </c>
      <c r="O204" s="8" cm="1">
        <f t="array" ref="O204">(_xlfn.IFS(K204&gt;4300,570/5500*K204,K204&gt;=3800,0.0806*K204,K204&gt;=3300,0.0706*K204,K204&gt;=2500,0.0676*K204,TRUE,0.02*K204)+10)*I204</f>
        <v>418730.38367346942</v>
      </c>
    </row>
    <row r="205" spans="1:15" x14ac:dyDescent="0.15">
      <c r="A205">
        <v>3</v>
      </c>
      <c r="B205" t="s">
        <v>393</v>
      </c>
      <c r="C205" t="s">
        <v>396</v>
      </c>
      <c r="D205" t="s">
        <v>30</v>
      </c>
      <c r="E205" t="s">
        <v>397</v>
      </c>
      <c r="F205" t="s">
        <v>12</v>
      </c>
      <c r="G205">
        <v>121</v>
      </c>
      <c r="H205">
        <v>3626.52</v>
      </c>
      <c r="J205">
        <v>4129</v>
      </c>
      <c r="L205">
        <f>VLOOKUP(D205,运费!B:C,2,0)</f>
        <v>78</v>
      </c>
      <c r="M205" s="8">
        <f t="shared" si="8"/>
        <v>282868.56</v>
      </c>
      <c r="N205" s="8" cm="1">
        <f t="array" ref="N205">(_xlfn.IFS(J205&gt;=4300,570/550*J205,J205&gt;=3800,0.0806*J205,J205&gt;=3300,0.0706*J205,J205&gt;=2500,0.0676*J205,TRUE,0.02*J205)+10)*H205</f>
        <v>1243161.6270480002</v>
      </c>
    </row>
    <row r="206" spans="1:15" x14ac:dyDescent="0.15">
      <c r="A206">
        <v>4</v>
      </c>
      <c r="B206" t="s">
        <v>393</v>
      </c>
      <c r="C206" t="s">
        <v>398</v>
      </c>
      <c r="D206" t="s">
        <v>33</v>
      </c>
      <c r="E206" t="s">
        <v>399</v>
      </c>
      <c r="F206" t="s">
        <v>12</v>
      </c>
      <c r="G206">
        <v>1051</v>
      </c>
      <c r="H206">
        <v>32939.300000000003</v>
      </c>
      <c r="J206">
        <v>4300</v>
      </c>
      <c r="L206">
        <f>VLOOKUP(D206,运费!B:C,2,0)</f>
        <v>58</v>
      </c>
      <c r="M206" s="8">
        <f t="shared" si="8"/>
        <v>1910479.4000000001</v>
      </c>
      <c r="N206" s="8" cm="1">
        <f t="array" ref="N206">(_xlfn.IFS(J206&gt;=4300,570/5500*J206,J206&gt;=3800,0.0806*J206,J206&gt;=3300,0.0706*J206,J206&gt;=2500,0.0676*J206,TRUE,0.02*J206)+10)*H206</f>
        <v>15008342.872727273</v>
      </c>
    </row>
    <row r="207" spans="1:15" x14ac:dyDescent="0.15">
      <c r="A207">
        <v>5</v>
      </c>
      <c r="B207" t="s">
        <v>393</v>
      </c>
      <c r="C207" t="s">
        <v>400</v>
      </c>
      <c r="D207" t="s">
        <v>147</v>
      </c>
      <c r="E207" t="s">
        <v>401</v>
      </c>
      <c r="F207" t="s">
        <v>45</v>
      </c>
      <c r="G207">
        <v>154</v>
      </c>
      <c r="H207">
        <v>4940.1400000000003</v>
      </c>
      <c r="J207">
        <v>2852</v>
      </c>
      <c r="L207">
        <f>VLOOKUP(D207,运费!B:C,2,0)</f>
        <v>70</v>
      </c>
      <c r="M207" s="8">
        <f t="shared" si="8"/>
        <v>345809.80000000005</v>
      </c>
      <c r="N207" s="8" cm="1">
        <f t="array" ref="N207">(_xlfn.IFS(J207&gt;=4300,570/550*J207,J207&gt;=3800,0.0806*J207,J207&gt;=3300,0.0706*J207,J207&gt;=2500,0.0676*J207,TRUE,0.02*J207)+10)*H207</f>
        <v>1001836.6793280001</v>
      </c>
    </row>
    <row r="208" spans="1:15" x14ac:dyDescent="0.15">
      <c r="A208">
        <v>6</v>
      </c>
      <c r="B208" t="s">
        <v>393</v>
      </c>
      <c r="C208" t="s">
        <v>402</v>
      </c>
      <c r="D208" t="s">
        <v>321</v>
      </c>
      <c r="E208" t="s">
        <v>403</v>
      </c>
      <c r="F208" t="s">
        <v>45</v>
      </c>
      <c r="G208">
        <v>664</v>
      </c>
      <c r="H208">
        <v>20773.900000000001</v>
      </c>
      <c r="J208">
        <v>3899</v>
      </c>
      <c r="L208">
        <f>VLOOKUP(D208,运费!B:C,2,0)</f>
        <v>68</v>
      </c>
      <c r="M208" s="8">
        <f t="shared" si="8"/>
        <v>1412625.2000000002</v>
      </c>
      <c r="N208" s="8" cm="1">
        <f t="array" ref="N208">(_xlfn.IFS(J208&gt;=4300,570/550*J208,J208&gt;=3800,0.0806*J208,J208&gt;=3300,0.0706*J208,J208&gt;=2500,0.0676*J208,TRUE,0.02*J208)+10)*H208</f>
        <v>6736132.3496600008</v>
      </c>
    </row>
    <row r="209" spans="1:15" x14ac:dyDescent="0.15">
      <c r="A209">
        <v>7</v>
      </c>
      <c r="B209" t="s">
        <v>393</v>
      </c>
      <c r="C209" t="s">
        <v>379</v>
      </c>
      <c r="D209" t="s">
        <v>294</v>
      </c>
      <c r="E209" t="s">
        <v>404</v>
      </c>
      <c r="F209" t="s">
        <v>12</v>
      </c>
      <c r="G209">
        <v>1396</v>
      </c>
      <c r="H209">
        <v>40135.160000000003</v>
      </c>
      <c r="I209">
        <f t="shared" ref="I209:I210" si="13">H209/0.98</f>
        <v>40954.244897959186</v>
      </c>
      <c r="J209">
        <v>3301</v>
      </c>
      <c r="K209">
        <f t="shared" ref="K209:K210" si="14">J209+200</f>
        <v>3501</v>
      </c>
      <c r="L209">
        <f>VLOOKUP(D209,运费!B:C,2,0)</f>
        <v>175.5</v>
      </c>
      <c r="M209" s="8">
        <f t="shared" si="8"/>
        <v>7043720.580000001</v>
      </c>
      <c r="N209" s="8" cm="1">
        <f t="array" ref="N209">(_xlfn.IFS(J209&gt;=4300,570/5500*J209,J209&gt;=3800,0.0806*J209,J209&gt;=3300,0.0706*J209,J209&gt;=2500,0.0676*J209,TRUE,0.02*J209)+10)*H209</f>
        <v>9754874.7190959994</v>
      </c>
      <c r="O209" s="8" cm="1">
        <f t="array" ref="O209">(_xlfn.IFS(K209&gt;4300,570/5500*K209,K209&gt;=3800,0.0806*K209,K209&gt;=3300,0.0706*K209,K209&gt;=2500,0.0676*K209,TRUE,0.02*K209)+10)*I209</f>
        <v>10532227.732955102</v>
      </c>
    </row>
    <row r="210" spans="1:15" x14ac:dyDescent="0.15">
      <c r="A210">
        <v>8</v>
      </c>
      <c r="B210" t="s">
        <v>393</v>
      </c>
      <c r="C210" t="s">
        <v>405</v>
      </c>
      <c r="D210" t="s">
        <v>294</v>
      </c>
      <c r="E210" t="s">
        <v>404</v>
      </c>
      <c r="F210" t="s">
        <v>12</v>
      </c>
      <c r="G210">
        <v>345</v>
      </c>
      <c r="H210">
        <v>9897.4</v>
      </c>
      <c r="I210">
        <f t="shared" si="13"/>
        <v>10099.387755102041</v>
      </c>
      <c r="J210">
        <v>3301</v>
      </c>
      <c r="K210">
        <f t="shared" si="14"/>
        <v>3501</v>
      </c>
      <c r="L210">
        <f>VLOOKUP(D210,运费!B:C,2,0)</f>
        <v>175.5</v>
      </c>
      <c r="M210" s="8">
        <f t="shared" si="8"/>
        <v>1736993.7</v>
      </c>
      <c r="N210" s="8" cm="1">
        <f t="array" ref="N210">(_xlfn.IFS(J210&gt;=4300,570/5500*J210,J210&gt;=3800,0.0806*J210,J210&gt;=3300,0.0706*J210,J210&gt;=2500,0.0676*J210,TRUE,0.02*J210)+10)*H210</f>
        <v>2405569.0084399995</v>
      </c>
      <c r="O210" s="8" cm="1">
        <f t="array" ref="O210">(_xlfn.IFS(K210&gt;4300,570/5500*K210,K210&gt;=3800,0.0806*K210,K210&gt;=3300,0.0706*K210,K210&gt;=2500,0.0676*K210,TRUE,0.02*K210)+10)*I210</f>
        <v>2597265.6086122449</v>
      </c>
    </row>
    <row r="211" spans="1:15" x14ac:dyDescent="0.15">
      <c r="A211">
        <v>9</v>
      </c>
      <c r="B211" t="s">
        <v>393</v>
      </c>
      <c r="C211" t="s">
        <v>406</v>
      </c>
      <c r="D211" t="s">
        <v>119</v>
      </c>
      <c r="E211" t="s">
        <v>407</v>
      </c>
      <c r="F211" t="s">
        <v>12</v>
      </c>
      <c r="G211">
        <v>127</v>
      </c>
      <c r="H211">
        <v>3952.88</v>
      </c>
      <c r="J211">
        <v>5107</v>
      </c>
      <c r="L211">
        <f>VLOOKUP(D211,运费!B:C,2,0)</f>
        <v>105</v>
      </c>
      <c r="M211" s="8">
        <f t="shared" si="8"/>
        <v>415052.4</v>
      </c>
      <c r="N211" s="8" cm="1">
        <f t="array" ref="N211">(_xlfn.IFS(J211&gt;=4300,570/550*J211,J211&gt;=3800,0.0806*J211,J211&gt;=3300,0.0706*J211,J211&gt;=2500,0.0676*J211,TRUE,0.02*J211)+10)*H211</f>
        <v>20960972.711272728</v>
      </c>
    </row>
    <row r="212" spans="1:15" x14ac:dyDescent="0.15">
      <c r="A212">
        <v>10</v>
      </c>
      <c r="B212" t="s">
        <v>393</v>
      </c>
      <c r="C212" t="s">
        <v>408</v>
      </c>
      <c r="D212" t="s">
        <v>264</v>
      </c>
      <c r="E212" t="s">
        <v>409</v>
      </c>
      <c r="F212" t="s">
        <v>12</v>
      </c>
      <c r="G212">
        <v>51</v>
      </c>
      <c r="H212">
        <v>1531.64</v>
      </c>
      <c r="J212">
        <v>4463</v>
      </c>
      <c r="L212">
        <f>VLOOKUP(D212,运费!B:C,2,0)</f>
        <v>114.09</v>
      </c>
      <c r="M212" s="8">
        <f t="shared" si="8"/>
        <v>174744.80760000003</v>
      </c>
      <c r="N212" s="8" cm="1">
        <f t="array" ref="N212">(_xlfn.IFS(J212&gt;=4300,570/550*J212,J212&gt;=3800,0.0806*J212,J212&gt;=3300,0.0706*J212,J212&gt;=2500,0.0676*J212,TRUE,0.02*J212)+10)*H212</f>
        <v>7099596.9680000003</v>
      </c>
    </row>
    <row r="213" spans="1:15" x14ac:dyDescent="0.15">
      <c r="A213">
        <v>11</v>
      </c>
      <c r="B213" t="s">
        <v>393</v>
      </c>
      <c r="C213" t="s">
        <v>410</v>
      </c>
      <c r="D213" t="s">
        <v>160</v>
      </c>
      <c r="E213" t="s">
        <v>411</v>
      </c>
      <c r="F213" t="s">
        <v>12</v>
      </c>
      <c r="G213">
        <v>198</v>
      </c>
      <c r="H213">
        <v>6411.78</v>
      </c>
      <c r="J213">
        <v>2948</v>
      </c>
      <c r="L213">
        <f>VLOOKUP(D213,运费!B:C,2,0)</f>
        <v>82</v>
      </c>
      <c r="M213" s="8">
        <f t="shared" si="8"/>
        <v>525765.96</v>
      </c>
      <c r="N213" s="8" cm="1">
        <f t="array" ref="N213">(_xlfn.IFS(J213&gt;=4300,570/5500*J213,J213&gt;=3800,0.0806*J213,J213&gt;=3300,0.0706*J213,J213&gt;=2500,0.0676*J213,TRUE,0.02*J213)+10)*H213</f>
        <v>1341888.0949439998</v>
      </c>
    </row>
    <row r="214" spans="1:15" x14ac:dyDescent="0.15">
      <c r="A214">
        <v>12</v>
      </c>
      <c r="B214" t="s">
        <v>393</v>
      </c>
      <c r="C214" t="s">
        <v>388</v>
      </c>
      <c r="D214" t="s">
        <v>86</v>
      </c>
      <c r="E214" t="s">
        <v>412</v>
      </c>
      <c r="F214" t="s">
        <v>12</v>
      </c>
      <c r="G214">
        <v>67</v>
      </c>
      <c r="H214">
        <v>1909.46</v>
      </c>
      <c r="I214">
        <f t="shared" ref="I214:I215" si="15">H214/0.98</f>
        <v>1948.4285714285716</v>
      </c>
      <c r="J214">
        <v>2907</v>
      </c>
      <c r="K214">
        <f t="shared" ref="K214:K215" si="16">J214+200</f>
        <v>3107</v>
      </c>
      <c r="L214">
        <f>VLOOKUP(D214,运费!B:C,2,0)</f>
        <v>116.8</v>
      </c>
      <c r="M214" s="8">
        <f t="shared" si="8"/>
        <v>223024.92799999999</v>
      </c>
      <c r="N214" s="8" cm="1">
        <f t="array" ref="N214">(_xlfn.IFS(J214&gt;=4300,570/5500*J214,J214&gt;=3800,0.0806*J214,J214&gt;=3300,0.0706*J214,J214&gt;=2500,0.0676*J214,TRUE,0.02*J214)+10)*H214</f>
        <v>394328.69487199996</v>
      </c>
      <c r="O214" s="8" cm="1">
        <f t="array" ref="O214">(_xlfn.IFS(K214&gt;4300,570/5500*K214,K214&gt;=3800,0.0806*K214,K214&gt;=3300,0.0706*K214,K214&gt;=2500,0.0676*K214,TRUE,0.02*K214)+10)*I214</f>
        <v>428718.97354285716</v>
      </c>
    </row>
    <row r="215" spans="1:15" x14ac:dyDescent="0.15">
      <c r="A215">
        <v>13</v>
      </c>
      <c r="B215" t="s">
        <v>393</v>
      </c>
      <c r="C215" t="s">
        <v>413</v>
      </c>
      <c r="D215" t="s">
        <v>89</v>
      </c>
      <c r="E215" t="s">
        <v>414</v>
      </c>
      <c r="F215" t="s">
        <v>12</v>
      </c>
      <c r="G215">
        <v>155</v>
      </c>
      <c r="H215">
        <v>4380.38</v>
      </c>
      <c r="I215">
        <f t="shared" si="15"/>
        <v>4469.7755102040819</v>
      </c>
      <c r="J215">
        <v>4565</v>
      </c>
      <c r="K215">
        <f t="shared" si="16"/>
        <v>4765</v>
      </c>
      <c r="L215">
        <f>VLOOKUP(D215,运费!B:C,2,0)</f>
        <v>108.51</v>
      </c>
      <c r="M215" s="8">
        <f t="shared" si="8"/>
        <v>475315.03380000003</v>
      </c>
      <c r="N215" s="8" cm="1">
        <f t="array" ref="N215">(_xlfn.IFS(J215&gt;=4300,570/5500*J215,J215&gt;=3800,0.0806*J215,J215&gt;=3300,0.0706*J215,J215&gt;=2500,0.0676*J215,TRUE,0.02*J215)+10)*H215</f>
        <v>2116161.5780000002</v>
      </c>
      <c r="O215" s="8" cm="1">
        <f t="array" ref="O215">(_xlfn.IFS(K215&gt;4300,570/5500*K215,K215&gt;=3800,0.0806*K215,K215&gt;=3300,0.0706*K215,K215&gt;=2500,0.0676*K215,TRUE,0.02*K215)+10)*I215</f>
        <v>2251994.8050092766</v>
      </c>
    </row>
    <row r="216" spans="1:15" x14ac:dyDescent="0.15">
      <c r="A216">
        <v>14</v>
      </c>
      <c r="B216" t="s">
        <v>393</v>
      </c>
      <c r="C216" t="s">
        <v>415</v>
      </c>
      <c r="D216" t="s">
        <v>96</v>
      </c>
      <c r="E216" t="s">
        <v>416</v>
      </c>
      <c r="F216" t="s">
        <v>12</v>
      </c>
      <c r="G216">
        <v>1225</v>
      </c>
      <c r="H216">
        <v>37736.6</v>
      </c>
      <c r="J216">
        <v>3638</v>
      </c>
      <c r="L216">
        <f>VLOOKUP(D216,运费!B:C,2,0)</f>
        <v>60.5</v>
      </c>
      <c r="M216" s="8">
        <f t="shared" si="8"/>
        <v>2283064.2999999998</v>
      </c>
      <c r="N216" s="8" cm="1">
        <f t="array" ref="N216">(_xlfn.IFS(J216&gt;=4300,570/5500*J216,J216&gt;=3800,0.0806*J216,J216&gt;=3300,0.0706*J216,J216&gt;=2500,0.0676*J216,TRUE,0.02*J216)+10)*H216</f>
        <v>10069740.006480001</v>
      </c>
    </row>
  </sheetData>
  <autoFilter ref="A1:J216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9501-CA63-4483-AE1C-9AF690542D64}">
  <dimension ref="A1:M218"/>
  <sheetViews>
    <sheetView topLeftCell="E1" workbookViewId="0">
      <selection activeCell="M7" sqref="M7"/>
    </sheetView>
  </sheetViews>
  <sheetFormatPr defaultRowHeight="13.5" x14ac:dyDescent="0.15"/>
  <cols>
    <col min="1" max="1" width="5.75" bestFit="1" customWidth="1"/>
    <col min="2" max="2" width="9.75" bestFit="1" customWidth="1"/>
    <col min="3" max="3" width="49.625" bestFit="1" customWidth="1"/>
    <col min="4" max="4" width="42.125" bestFit="1" customWidth="1"/>
    <col min="5" max="5" width="51" bestFit="1" customWidth="1"/>
    <col min="6" max="6" width="25.5" bestFit="1" customWidth="1"/>
    <col min="7" max="7" width="5.75" bestFit="1" customWidth="1"/>
    <col min="8" max="8" width="9.5" bestFit="1" customWidth="1"/>
    <col min="11" max="11" width="17.25" bestFit="1" customWidth="1"/>
    <col min="12" max="12" width="20.25" customWidth="1"/>
    <col min="13" max="13" width="18.375" bestFit="1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417</v>
      </c>
      <c r="J1" s="2" t="s">
        <v>484</v>
      </c>
      <c r="K1" s="2" t="s">
        <v>485</v>
      </c>
      <c r="L1" s="2" t="s">
        <v>486</v>
      </c>
    </row>
    <row r="2" spans="1:13" x14ac:dyDescent="0.1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1403</v>
      </c>
      <c r="H2">
        <v>26101.84</v>
      </c>
      <c r="I2">
        <v>3501</v>
      </c>
      <c r="J2">
        <f>VLOOKUP(D2,运费!B:C,2,0)</f>
        <v>147.1</v>
      </c>
      <c r="K2" s="8">
        <f>H2*J2</f>
        <v>3839580.6639999999</v>
      </c>
      <c r="L2" s="8" cm="1">
        <f t="array" ref="L2">(_xlfn.IFS(I2&gt;=4300,570/5500*I2,I2&gt;=3800,0.0806*I2,I2&gt;=3300,0.0706*I2,I2&gt;=2500,0.0676*I2,TRUE,0.02*I2)+10)*H2</f>
        <v>6712625.8539039996</v>
      </c>
      <c r="M2" s="8">
        <f>3501*0.0676*H2</f>
        <v>6177459.8283839989</v>
      </c>
    </row>
    <row r="3" spans="1:13" x14ac:dyDescent="0.15">
      <c r="A3">
        <v>2</v>
      </c>
      <c r="B3" t="s">
        <v>8</v>
      </c>
      <c r="C3" t="s">
        <v>13</v>
      </c>
      <c r="D3" t="s">
        <v>14</v>
      </c>
      <c r="E3" t="s">
        <v>15</v>
      </c>
      <c r="F3" t="s">
        <v>12</v>
      </c>
      <c r="G3">
        <v>500</v>
      </c>
      <c r="H3">
        <v>14377.61</v>
      </c>
      <c r="I3">
        <v>3311</v>
      </c>
      <c r="J3">
        <f>VLOOKUP(D3,运费!B:C,2,0)</f>
        <v>192.75</v>
      </c>
      <c r="K3" s="8">
        <f t="shared" ref="K3:K66" si="0">H3*J3</f>
        <v>2771284.3275000001</v>
      </c>
      <c r="L3" s="8" cm="1">
        <f t="array" ref="L3">(_xlfn.IFS(I3&gt;=4300,570/5500*I3,I3&gt;=3800,0.0806*I3,I3&gt;=3300,0.0706*I3,I3&gt;=2500,0.0676*I3,TRUE,0.02*I3)+10)*H3</f>
        <v>3504637.3297259999</v>
      </c>
    </row>
    <row r="4" spans="1:13" x14ac:dyDescent="0.15">
      <c r="A4">
        <v>3</v>
      </c>
      <c r="B4" t="s">
        <v>8</v>
      </c>
      <c r="C4" t="s">
        <v>16</v>
      </c>
      <c r="D4" t="s">
        <v>17</v>
      </c>
      <c r="E4" t="s">
        <v>18</v>
      </c>
      <c r="F4" t="s">
        <v>12</v>
      </c>
      <c r="G4">
        <v>179</v>
      </c>
      <c r="H4">
        <v>3339.04</v>
      </c>
      <c r="I4">
        <v>4481</v>
      </c>
      <c r="J4">
        <f>VLOOKUP(D4,运费!B:C,2,0)</f>
        <v>21.8</v>
      </c>
      <c r="K4" s="8">
        <f t="shared" si="0"/>
        <v>72791.072</v>
      </c>
      <c r="L4" s="8" cm="1">
        <f t="array" ref="L4">(_xlfn.IFS(I4&gt;=4300,570/5500*I4,I4&gt;=3800,0.0806*I4,I4&gt;=3300,0.0706*I4,I4&gt;=2500,0.0676*I4,TRUE,0.02*I4)+10)*H4</f>
        <v>1584022.3630545454</v>
      </c>
    </row>
    <row r="5" spans="1:13" x14ac:dyDescent="0.15">
      <c r="A5">
        <v>4</v>
      </c>
      <c r="B5" t="s">
        <v>8</v>
      </c>
      <c r="C5" t="s">
        <v>19</v>
      </c>
      <c r="D5" t="s">
        <v>17</v>
      </c>
      <c r="E5" t="s">
        <v>18</v>
      </c>
      <c r="F5" t="s">
        <v>12</v>
      </c>
      <c r="G5">
        <v>262</v>
      </c>
      <c r="H5">
        <v>4852.58</v>
      </c>
      <c r="I5">
        <v>4481</v>
      </c>
      <c r="J5">
        <f>VLOOKUP(D5,运费!B:C,2,0)</f>
        <v>21.8</v>
      </c>
      <c r="K5" s="8">
        <f t="shared" si="0"/>
        <v>105786.24400000001</v>
      </c>
      <c r="L5" s="8" cm="1">
        <f t="array" ref="L5">(_xlfn.IFS(I5&gt;=4300,570/5500*I5,I5&gt;=3800,0.0806*I5,I5&gt;=3300,0.0706*I5,I5&gt;=2500,0.0676*I5,TRUE,0.02*I5)+10)*H5</f>
        <v>2302037.483381818</v>
      </c>
      <c r="M5" s="8">
        <f>I5*(570/5500+10)*H5</f>
        <v>219697621.48338181</v>
      </c>
    </row>
    <row r="6" spans="1:13" x14ac:dyDescent="0.15">
      <c r="A6">
        <v>5</v>
      </c>
      <c r="B6" t="s">
        <v>8</v>
      </c>
      <c r="C6" t="s">
        <v>20</v>
      </c>
      <c r="D6" t="s">
        <v>21</v>
      </c>
      <c r="E6" t="s">
        <v>22</v>
      </c>
      <c r="F6" t="s">
        <v>12</v>
      </c>
      <c r="G6">
        <v>235</v>
      </c>
      <c r="H6">
        <v>4284.12</v>
      </c>
      <c r="I6">
        <v>3960</v>
      </c>
      <c r="J6">
        <f>VLOOKUP(D6,运费!B:C,2,0)</f>
        <v>10.355</v>
      </c>
      <c r="K6" s="8">
        <f t="shared" si="0"/>
        <v>44362.062599999997</v>
      </c>
      <c r="L6" s="8" cm="1">
        <f t="array" ref="L6">(_xlfn.IFS(I6&gt;=4300,570/5500*I6,I6&gt;=3800,0.0806*I6,I6&gt;=3300,0.0706*I6,I6&gt;=2500,0.0676*I6,TRUE,0.02*I6)+10)*H6</f>
        <v>1410229.4851200001</v>
      </c>
    </row>
    <row r="7" spans="1:13" x14ac:dyDescent="0.15">
      <c r="A7">
        <v>6</v>
      </c>
      <c r="B7" t="s">
        <v>8</v>
      </c>
      <c r="C7" t="s">
        <v>23</v>
      </c>
      <c r="D7" t="s">
        <v>24</v>
      </c>
      <c r="E7" t="s">
        <v>25</v>
      </c>
      <c r="F7" t="s">
        <v>12</v>
      </c>
      <c r="G7">
        <v>109</v>
      </c>
      <c r="H7">
        <v>3296</v>
      </c>
      <c r="I7">
        <v>4176</v>
      </c>
      <c r="J7">
        <f>VLOOKUP(D7,运费!B:C,2,0)</f>
        <v>33.79</v>
      </c>
      <c r="K7" s="8">
        <f t="shared" si="0"/>
        <v>111371.84</v>
      </c>
      <c r="L7" s="8" cm="1">
        <f t="array" ref="L7">(_xlfn.IFS(I7&gt;=4300,570/5500*I7,I7&gt;=3800,0.0806*I7,I7&gt;=3300,0.0706*I7,I7&gt;=2500,0.0676*I7,TRUE,0.02*I7)+10)*H7</f>
        <v>1142346.1376</v>
      </c>
      <c r="M7">
        <f>SUMPRODUCT(H2:H216,I2:I216)/SUM(H2:H216)</f>
        <v>3882.4023807834956</v>
      </c>
    </row>
    <row r="8" spans="1:13" x14ac:dyDescent="0.15">
      <c r="A8">
        <v>7</v>
      </c>
      <c r="B8" t="s">
        <v>8</v>
      </c>
      <c r="C8" t="s">
        <v>26</v>
      </c>
      <c r="D8" t="s">
        <v>27</v>
      </c>
      <c r="E8" t="s">
        <v>28</v>
      </c>
      <c r="F8" t="s">
        <v>12</v>
      </c>
      <c r="G8">
        <v>612</v>
      </c>
      <c r="H8">
        <v>19855.3</v>
      </c>
      <c r="I8">
        <v>4288</v>
      </c>
      <c r="J8">
        <f>VLOOKUP(D8,运费!B:C,2,0)</f>
        <v>104.5</v>
      </c>
      <c r="K8" s="8">
        <f t="shared" si="0"/>
        <v>2074878.8499999999</v>
      </c>
      <c r="L8" s="8" cm="1">
        <f t="array" ref="L8">(_xlfn.IFS(I8&gt;=4300,570/5500*I8,I8&gt;=3800,0.0806*I8,I8&gt;=3300,0.0706*I8,I8&gt;=2500,0.0676*I8,TRUE,0.02*I8)+10)*H8</f>
        <v>7060798.8278399995</v>
      </c>
    </row>
    <row r="9" spans="1:13" x14ac:dyDescent="0.15">
      <c r="A9">
        <v>8</v>
      </c>
      <c r="B9" t="s">
        <v>8</v>
      </c>
      <c r="C9" t="s">
        <v>29</v>
      </c>
      <c r="D9" t="s">
        <v>30</v>
      </c>
      <c r="E9" t="s">
        <v>31</v>
      </c>
      <c r="F9" t="s">
        <v>12</v>
      </c>
      <c r="G9">
        <v>182</v>
      </c>
      <c r="H9">
        <v>5754</v>
      </c>
      <c r="I9">
        <v>4511</v>
      </c>
      <c r="J9">
        <f>VLOOKUP(D9,运费!B:C,2,0)</f>
        <v>78</v>
      </c>
      <c r="K9" s="8">
        <f t="shared" si="0"/>
        <v>448812</v>
      </c>
      <c r="L9" s="8" cm="1">
        <f t="array" ref="L9">(_xlfn.IFS(I9&gt;=4300,570/5500*I9,I9&gt;=3800,0.0806*I9,I9&gt;=3300,0.0706*I9,I9&gt;=2500,0.0676*I9,TRUE,0.02*I9)+10)*H9</f>
        <v>2747555.9236363638</v>
      </c>
    </row>
    <row r="10" spans="1:13" x14ac:dyDescent="0.15">
      <c r="A10">
        <v>9</v>
      </c>
      <c r="B10" t="s">
        <v>8</v>
      </c>
      <c r="C10" t="s">
        <v>32</v>
      </c>
      <c r="D10" t="s">
        <v>33</v>
      </c>
      <c r="E10" t="s">
        <v>34</v>
      </c>
      <c r="F10" t="s">
        <v>12</v>
      </c>
      <c r="G10">
        <v>879</v>
      </c>
      <c r="H10">
        <v>28078.13</v>
      </c>
      <c r="I10">
        <v>4388</v>
      </c>
      <c r="J10">
        <f>VLOOKUP(D10,运费!B:C,2,0)</f>
        <v>58</v>
      </c>
      <c r="K10" s="8">
        <f t="shared" si="0"/>
        <v>1628531.54</v>
      </c>
      <c r="L10" s="8" cm="1">
        <f t="array" ref="L10">(_xlfn.IFS(I10&gt;=4300,570/5500*I10,I10&gt;=3800,0.0806*I10,I10&gt;=3300,0.0706*I10,I10&gt;=2500,0.0676*I10,TRUE,0.02*I10)+10)*H10</f>
        <v>13049489.596509092</v>
      </c>
    </row>
    <row r="11" spans="1:13" x14ac:dyDescent="0.15">
      <c r="A11">
        <v>10</v>
      </c>
      <c r="B11" t="s">
        <v>8</v>
      </c>
      <c r="C11" t="s">
        <v>35</v>
      </c>
      <c r="D11" t="s">
        <v>36</v>
      </c>
      <c r="E11" t="s">
        <v>37</v>
      </c>
      <c r="F11" t="s">
        <v>12</v>
      </c>
      <c r="G11">
        <v>325</v>
      </c>
      <c r="H11">
        <v>5873.36</v>
      </c>
      <c r="I11">
        <v>4448</v>
      </c>
      <c r="J11">
        <f>VLOOKUP(D11,运费!B:C,2,0)</f>
        <v>10.355</v>
      </c>
      <c r="K11" s="8">
        <f t="shared" si="0"/>
        <v>60818.642800000001</v>
      </c>
      <c r="L11" s="8" cm="1">
        <f t="array" ref="L11">(_xlfn.IFS(I11&gt;=4300,570/5500*I11,I11&gt;=3800,0.0806*I11,I11&gt;=3300,0.0706*I11,I11&gt;=2500,0.0676*I11,TRUE,0.02*I11)+10)*H11</f>
        <v>2766203.0562909092</v>
      </c>
    </row>
    <row r="12" spans="1:13" x14ac:dyDescent="0.15">
      <c r="A12">
        <v>11</v>
      </c>
      <c r="B12" t="s">
        <v>8</v>
      </c>
      <c r="C12" t="s">
        <v>38</v>
      </c>
      <c r="D12" t="s">
        <v>36</v>
      </c>
      <c r="E12" t="s">
        <v>37</v>
      </c>
      <c r="F12" t="s">
        <v>12</v>
      </c>
      <c r="G12">
        <v>118</v>
      </c>
      <c r="H12">
        <v>2144.96</v>
      </c>
      <c r="I12">
        <v>4448</v>
      </c>
      <c r="J12">
        <f>VLOOKUP(D12,运费!B:C,2,0)</f>
        <v>10.355</v>
      </c>
      <c r="K12" s="8">
        <f t="shared" si="0"/>
        <v>22211.060800000003</v>
      </c>
      <c r="L12" s="8" cm="1">
        <f t="array" ref="L12">(_xlfn.IFS(I12&gt;=4300,570/5500*I12,I12&gt;=3800,0.0806*I12,I12&gt;=3300,0.0706*I12,I12&gt;=2500,0.0676*I12,TRUE,0.02*I12)+10)*H12</f>
        <v>1010221.5610181818</v>
      </c>
    </row>
    <row r="13" spans="1:13" x14ac:dyDescent="0.15">
      <c r="A13">
        <v>12</v>
      </c>
      <c r="B13" t="s">
        <v>8</v>
      </c>
      <c r="C13" t="s">
        <v>39</v>
      </c>
      <c r="D13" t="s">
        <v>40</v>
      </c>
      <c r="E13" t="s">
        <v>41</v>
      </c>
      <c r="F13" t="s">
        <v>12</v>
      </c>
      <c r="G13">
        <v>132</v>
      </c>
      <c r="H13">
        <v>2411.8200000000002</v>
      </c>
      <c r="I13">
        <v>4032</v>
      </c>
      <c r="J13">
        <f>VLOOKUP(D13,运费!B:C,2,0)</f>
        <v>10.355</v>
      </c>
      <c r="K13" s="8">
        <f t="shared" si="0"/>
        <v>24974.396100000002</v>
      </c>
      <c r="L13" s="8" cm="1">
        <f t="array" ref="L13">(_xlfn.IFS(I13&gt;=4300,570/5500*I13,I13&gt;=3800,0.0806*I13,I13&gt;=3300,0.0706*I13,I13&gt;=2500,0.0676*I13,TRUE,0.02*I13)+10)*H13</f>
        <v>807909.53414400003</v>
      </c>
    </row>
    <row r="14" spans="1:13" x14ac:dyDescent="0.15">
      <c r="A14">
        <v>13</v>
      </c>
      <c r="B14" t="s">
        <v>8</v>
      </c>
      <c r="C14" t="s">
        <v>42</v>
      </c>
      <c r="D14" t="s">
        <v>43</v>
      </c>
      <c r="E14" t="s">
        <v>44</v>
      </c>
      <c r="F14" t="s">
        <v>45</v>
      </c>
      <c r="G14">
        <v>156</v>
      </c>
      <c r="H14">
        <v>4941.26</v>
      </c>
      <c r="I14">
        <v>4056</v>
      </c>
      <c r="J14">
        <f>VLOOKUP(D14,运费!B:C,2,0)</f>
        <v>117</v>
      </c>
      <c r="K14" s="8">
        <f t="shared" si="0"/>
        <v>578127.42000000004</v>
      </c>
      <c r="L14" s="8" cm="1">
        <f t="array" ref="L14">(_xlfn.IFS(I14&gt;=4300,570/5500*I14,I14&gt;=3800,0.0806*I14,I14&gt;=3300,0.0706*I14,I14&gt;=2500,0.0676*I14,TRUE,0.02*I14)+10)*H14</f>
        <v>1664777.6951360002</v>
      </c>
    </row>
    <row r="15" spans="1:13" x14ac:dyDescent="0.15">
      <c r="A15">
        <v>14</v>
      </c>
      <c r="B15" t="s">
        <v>8</v>
      </c>
      <c r="C15" t="s">
        <v>46</v>
      </c>
      <c r="D15" t="s">
        <v>47</v>
      </c>
      <c r="E15" t="s">
        <v>48</v>
      </c>
      <c r="F15" t="s">
        <v>45</v>
      </c>
      <c r="G15">
        <v>19</v>
      </c>
      <c r="H15">
        <v>610.05999999999995</v>
      </c>
      <c r="I15">
        <v>3866</v>
      </c>
      <c r="J15">
        <f>VLOOKUP(D15,运费!B:C,2,0)</f>
        <v>81</v>
      </c>
      <c r="K15" s="8">
        <f t="shared" si="0"/>
        <v>49414.859999999993</v>
      </c>
      <c r="L15" s="8" cm="1">
        <f t="array" ref="L15">(_xlfn.IFS(I15&gt;=4300,570/5500*I15,I15&gt;=3800,0.0806*I15,I15&gt;=3300,0.0706*I15,I15&gt;=2500,0.0676*I15,TRUE,0.02*I15)+10)*H15</f>
        <v>196195.05197599999</v>
      </c>
    </row>
    <row r="16" spans="1:13" x14ac:dyDescent="0.15">
      <c r="A16">
        <v>15</v>
      </c>
      <c r="B16" t="s">
        <v>8</v>
      </c>
      <c r="C16" t="s">
        <v>49</v>
      </c>
      <c r="D16" t="s">
        <v>50</v>
      </c>
      <c r="E16" t="s">
        <v>51</v>
      </c>
      <c r="F16" t="s">
        <v>45</v>
      </c>
      <c r="G16">
        <v>92</v>
      </c>
      <c r="H16">
        <v>2957.5</v>
      </c>
      <c r="I16">
        <v>3355</v>
      </c>
      <c r="J16">
        <f>VLOOKUP(D16,运费!B:C,2,0)</f>
        <v>79</v>
      </c>
      <c r="K16" s="8">
        <f t="shared" si="0"/>
        <v>233642.5</v>
      </c>
      <c r="L16" s="8" cm="1">
        <f t="array" ref="L16">(_xlfn.IFS(I16&gt;=4300,570/5500*I16,I16&gt;=3800,0.0806*I16,I16&gt;=3300,0.0706*I16,I16&gt;=2500,0.0676*I16,TRUE,0.02*I16)+10)*H16</f>
        <v>730097.32250000001</v>
      </c>
    </row>
    <row r="17" spans="1:12" x14ac:dyDescent="0.15">
      <c r="A17">
        <v>16</v>
      </c>
      <c r="B17" t="s">
        <v>8</v>
      </c>
      <c r="C17" t="s">
        <v>52</v>
      </c>
      <c r="D17" t="s">
        <v>53</v>
      </c>
      <c r="E17" t="s">
        <v>54</v>
      </c>
      <c r="F17" t="s">
        <v>45</v>
      </c>
      <c r="G17">
        <v>77</v>
      </c>
      <c r="H17">
        <v>2423.62</v>
      </c>
      <c r="I17">
        <v>3618</v>
      </c>
      <c r="J17">
        <f>VLOOKUP(D17,运费!B:C,2,0)</f>
        <v>85</v>
      </c>
      <c r="K17" s="8">
        <f t="shared" si="0"/>
        <v>206007.69999999998</v>
      </c>
      <c r="L17" s="8" cm="1">
        <f t="array" ref="L17">(_xlfn.IFS(I17&gt;=4300,570/5500*I17,I17&gt;=3800,0.0806*I17,I17&gt;=3300,0.0706*I17,I17&gt;=2500,0.0676*I17,TRUE,0.02*I17)+10)*H17</f>
        <v>643303.39549599995</v>
      </c>
    </row>
    <row r="18" spans="1:12" x14ac:dyDescent="0.15">
      <c r="A18">
        <v>17</v>
      </c>
      <c r="B18" t="s">
        <v>8</v>
      </c>
      <c r="C18" t="s">
        <v>55</v>
      </c>
      <c r="D18" t="s">
        <v>56</v>
      </c>
      <c r="E18" t="s">
        <v>57</v>
      </c>
      <c r="F18" t="s">
        <v>12</v>
      </c>
      <c r="G18">
        <v>398</v>
      </c>
      <c r="H18">
        <v>12357.18</v>
      </c>
      <c r="I18">
        <v>3587</v>
      </c>
      <c r="J18">
        <f>VLOOKUP(D18,运费!B:C,2,0)</f>
        <v>67</v>
      </c>
      <c r="K18" s="8">
        <f t="shared" si="0"/>
        <v>827931.06</v>
      </c>
      <c r="L18" s="8" cm="1">
        <f t="array" ref="L18">(_xlfn.IFS(I18&gt;=4300,570/5500*I18,I18&gt;=3800,0.0806*I18,I18&gt;=3300,0.0706*I18,I18&gt;=2500,0.0676*I18,TRUE,0.02*I18)+10)*H18</f>
        <v>3252931.2489960003</v>
      </c>
    </row>
    <row r="19" spans="1:12" x14ac:dyDescent="0.15">
      <c r="A19">
        <v>18</v>
      </c>
      <c r="B19" t="s">
        <v>8</v>
      </c>
      <c r="C19" t="s">
        <v>58</v>
      </c>
      <c r="D19" t="s">
        <v>59</v>
      </c>
      <c r="E19" t="s">
        <v>60</v>
      </c>
      <c r="F19" t="s">
        <v>12</v>
      </c>
      <c r="G19">
        <v>426</v>
      </c>
      <c r="H19">
        <v>7751.66</v>
      </c>
      <c r="I19">
        <v>4296</v>
      </c>
      <c r="J19">
        <f>VLOOKUP(D19,运费!B:C,2,0)</f>
        <v>10.355</v>
      </c>
      <c r="K19" s="8">
        <f t="shared" si="0"/>
        <v>80268.439299999998</v>
      </c>
      <c r="L19" s="8" cm="1">
        <f t="array" ref="L19">(_xlfn.IFS(I19&gt;=4300,570/5500*I19,I19&gt;=3800,0.0806*I19,I19&gt;=3300,0.0706*I19,I19&gt;=2500,0.0676*I19,TRUE,0.02*I19)+10)*H19</f>
        <v>2761587.787616</v>
      </c>
    </row>
    <row r="20" spans="1:12" x14ac:dyDescent="0.15">
      <c r="A20">
        <v>19</v>
      </c>
      <c r="B20" t="s">
        <v>8</v>
      </c>
      <c r="C20" t="s">
        <v>61</v>
      </c>
      <c r="D20" t="s">
        <v>62</v>
      </c>
      <c r="E20" t="s">
        <v>63</v>
      </c>
      <c r="F20" t="s">
        <v>12</v>
      </c>
      <c r="G20">
        <v>1066</v>
      </c>
      <c r="H20">
        <v>19978.28</v>
      </c>
      <c r="I20">
        <v>4180</v>
      </c>
      <c r="J20">
        <f>VLOOKUP(D20,运费!B:C,2,0)</f>
        <v>21.8</v>
      </c>
      <c r="K20" s="8">
        <f t="shared" si="0"/>
        <v>435526.50400000002</v>
      </c>
      <c r="L20" s="8" cm="1">
        <f t="array" ref="L20">(_xlfn.IFS(I20&gt;=4300,570/5500*I20,I20&gt;=3800,0.0806*I20,I20&gt;=3300,0.0706*I20,I20&gt;=2500,0.0676*I20,TRUE,0.02*I20)+10)*H20</f>
        <v>6930625.1582399998</v>
      </c>
    </row>
    <row r="21" spans="1:12" x14ac:dyDescent="0.15">
      <c r="A21">
        <v>20</v>
      </c>
      <c r="B21" t="s">
        <v>8</v>
      </c>
      <c r="C21" t="s">
        <v>64</v>
      </c>
      <c r="D21" t="s">
        <v>62</v>
      </c>
      <c r="E21" t="s">
        <v>63</v>
      </c>
      <c r="F21" t="s">
        <v>12</v>
      </c>
      <c r="G21">
        <v>173</v>
      </c>
      <c r="H21">
        <v>3213.9</v>
      </c>
      <c r="I21">
        <v>4180</v>
      </c>
      <c r="J21">
        <f>VLOOKUP(D21,运费!B:C,2,0)</f>
        <v>21.8</v>
      </c>
      <c r="K21" s="8">
        <f t="shared" si="0"/>
        <v>70063.02</v>
      </c>
      <c r="L21" s="8" cm="1">
        <f t="array" ref="L21">(_xlfn.IFS(I21&gt;=4300,570/5500*I21,I21&gt;=3800,0.0806*I21,I21&gt;=3300,0.0706*I21,I21&gt;=2500,0.0676*I21,TRUE,0.02*I21)+10)*H21</f>
        <v>1114927.6212000002</v>
      </c>
    </row>
    <row r="22" spans="1:12" x14ac:dyDescent="0.15">
      <c r="A22">
        <v>21</v>
      </c>
      <c r="B22" t="s">
        <v>8</v>
      </c>
      <c r="C22" t="s">
        <v>65</v>
      </c>
      <c r="D22" t="s">
        <v>66</v>
      </c>
      <c r="E22" t="s">
        <v>67</v>
      </c>
      <c r="F22" t="s">
        <v>12</v>
      </c>
      <c r="G22">
        <v>327</v>
      </c>
      <c r="H22">
        <v>10689.2</v>
      </c>
      <c r="I22">
        <v>4348</v>
      </c>
      <c r="J22">
        <f>VLOOKUP(D22,运费!B:C,2,0)</f>
        <v>101.5</v>
      </c>
      <c r="K22" s="8">
        <f t="shared" si="0"/>
        <v>1084953.8</v>
      </c>
      <c r="L22" s="8" cm="1">
        <f t="array" ref="L22">(_xlfn.IFS(I22&gt;=4300,570/5500*I22,I22&gt;=3800,0.0806*I22,I22&gt;=3300,0.0706*I22,I22&gt;=2500,0.0676*I22,TRUE,0.02*I22)+10)*H22</f>
        <v>4923562.1294545457</v>
      </c>
    </row>
    <row r="23" spans="1:12" x14ac:dyDescent="0.15">
      <c r="A23">
        <v>22</v>
      </c>
      <c r="B23" t="s">
        <v>8</v>
      </c>
      <c r="C23" t="s">
        <v>68</v>
      </c>
      <c r="D23" t="s">
        <v>69</v>
      </c>
      <c r="E23" t="s">
        <v>70</v>
      </c>
      <c r="F23" t="s">
        <v>12</v>
      </c>
      <c r="G23">
        <v>391</v>
      </c>
      <c r="H23">
        <v>12664.58</v>
      </c>
      <c r="I23">
        <v>4851</v>
      </c>
      <c r="J23">
        <f>VLOOKUP(D23,运费!B:C,2,0)</f>
        <v>104.5</v>
      </c>
      <c r="K23" s="8">
        <f t="shared" si="0"/>
        <v>1323448.6100000001</v>
      </c>
      <c r="L23" s="8" cm="1">
        <f t="array" ref="L23">(_xlfn.IFS(I23&gt;=4300,570/5500*I23,I23&gt;=3800,0.0806*I23,I23&gt;=3300,0.0706*I23,I23&gt;=2500,0.0676*I23,TRUE,0.02*I23)+10)*H23</f>
        <v>6493636.7492000004</v>
      </c>
    </row>
    <row r="24" spans="1:12" x14ac:dyDescent="0.15">
      <c r="A24">
        <v>23</v>
      </c>
      <c r="B24" t="s">
        <v>8</v>
      </c>
      <c r="C24" t="s">
        <v>71</v>
      </c>
      <c r="D24" t="s">
        <v>72</v>
      </c>
      <c r="E24" t="s">
        <v>73</v>
      </c>
      <c r="F24" t="s">
        <v>12</v>
      </c>
      <c r="G24">
        <v>531</v>
      </c>
      <c r="H24">
        <v>9995.5400000000009</v>
      </c>
      <c r="I24">
        <v>4180</v>
      </c>
      <c r="J24">
        <f>VLOOKUP(D24,运费!B:C,2,0)</f>
        <v>10.355</v>
      </c>
      <c r="K24" s="8">
        <f t="shared" si="0"/>
        <v>103503.81670000001</v>
      </c>
      <c r="L24" s="8" cm="1">
        <f t="array" ref="L24">(_xlfn.IFS(I24&gt;=4300,570/5500*I24,I24&gt;=3800,0.0806*I24,I24&gt;=3300,0.0706*I24,I24&gt;=2500,0.0676*I24,TRUE,0.02*I24)+10)*H24</f>
        <v>3467532.7903200006</v>
      </c>
    </row>
    <row r="25" spans="1:12" x14ac:dyDescent="0.15">
      <c r="A25">
        <v>24</v>
      </c>
      <c r="B25" t="s">
        <v>8</v>
      </c>
      <c r="C25" t="s">
        <v>74</v>
      </c>
      <c r="D25" t="s">
        <v>75</v>
      </c>
      <c r="E25" t="s">
        <v>76</v>
      </c>
      <c r="F25" t="s">
        <v>12</v>
      </c>
      <c r="G25">
        <v>1319</v>
      </c>
      <c r="H25">
        <v>24614.799999999999</v>
      </c>
      <c r="I25">
        <v>4434</v>
      </c>
      <c r="J25">
        <f>VLOOKUP(D25,运费!B:C,2,0)</f>
        <v>21.8</v>
      </c>
      <c r="K25" s="8">
        <f t="shared" si="0"/>
        <v>536602.64</v>
      </c>
      <c r="L25" s="8" cm="1">
        <f t="array" ref="L25">(_xlfn.IFS(I25&gt;=4300,570/5500*I25,I25&gt;=3800,0.0806*I25,I25&gt;=3300,0.0706*I25,I25&gt;=2500,0.0676*I25,TRUE,0.02*I25)+10)*H25</f>
        <v>11557230.404363636</v>
      </c>
    </row>
    <row r="26" spans="1:12" x14ac:dyDescent="0.15">
      <c r="A26">
        <v>25</v>
      </c>
      <c r="B26" t="s">
        <v>8</v>
      </c>
      <c r="C26" t="s">
        <v>77</v>
      </c>
      <c r="D26" t="s">
        <v>75</v>
      </c>
      <c r="E26" t="s">
        <v>76</v>
      </c>
      <c r="F26" t="s">
        <v>12</v>
      </c>
      <c r="G26">
        <v>511</v>
      </c>
      <c r="H26">
        <v>9549.74</v>
      </c>
      <c r="I26">
        <v>4434</v>
      </c>
      <c r="J26">
        <f>VLOOKUP(D26,运费!B:C,2,0)</f>
        <v>21.8</v>
      </c>
      <c r="K26" s="8">
        <f t="shared" si="0"/>
        <v>208184.33199999999</v>
      </c>
      <c r="L26" s="8" cm="1">
        <f t="array" ref="L26">(_xlfn.IFS(I26&gt;=4300,570/5500*I26,I26&gt;=3800,0.0806*I26,I26&gt;=3300,0.0706*I26,I26&gt;=2500,0.0676*I26,TRUE,0.02*I26)+10)*H26</f>
        <v>4483828.6511272723</v>
      </c>
    </row>
    <row r="27" spans="1:12" x14ac:dyDescent="0.15">
      <c r="A27">
        <v>26</v>
      </c>
      <c r="B27" t="s">
        <v>8</v>
      </c>
      <c r="C27" t="s">
        <v>78</v>
      </c>
      <c r="D27" t="s">
        <v>79</v>
      </c>
      <c r="E27" t="s">
        <v>80</v>
      </c>
      <c r="F27" t="s">
        <v>12</v>
      </c>
      <c r="G27">
        <v>258</v>
      </c>
      <c r="H27">
        <v>4778.42</v>
      </c>
      <c r="I27">
        <v>3996</v>
      </c>
      <c r="J27">
        <f>VLOOKUP(D27,运费!B:C,2,0)</f>
        <v>21.8</v>
      </c>
      <c r="K27" s="8">
        <f t="shared" si="0"/>
        <v>104169.55600000001</v>
      </c>
      <c r="L27" s="8" cm="1">
        <f t="array" ref="L27">(_xlfn.IFS(I27&gt;=4300,570/5500*I27,I27&gt;=3800,0.0806*I27,I27&gt;=3300,0.0706*I27,I27&gt;=2500,0.0676*I27,TRUE,0.02*I27)+10)*H27</f>
        <v>1586806.2453920001</v>
      </c>
    </row>
    <row r="28" spans="1:12" x14ac:dyDescent="0.15">
      <c r="A28">
        <v>27</v>
      </c>
      <c r="B28" t="s">
        <v>8</v>
      </c>
      <c r="C28" t="s">
        <v>81</v>
      </c>
      <c r="D28" t="s">
        <v>82</v>
      </c>
      <c r="E28" t="s">
        <v>83</v>
      </c>
      <c r="F28" t="s">
        <v>12</v>
      </c>
      <c r="G28">
        <v>175</v>
      </c>
      <c r="H28">
        <v>3262.44</v>
      </c>
      <c r="I28">
        <v>4643</v>
      </c>
      <c r="J28">
        <f>VLOOKUP(D28,运费!B:C,2,0)</f>
        <v>21.8</v>
      </c>
      <c r="K28" s="8">
        <f t="shared" si="0"/>
        <v>71121.19200000001</v>
      </c>
      <c r="L28" s="8" cm="1">
        <f t="array" ref="L28">(_xlfn.IFS(I28&gt;=4300,570/5500*I28,I28&gt;=3800,0.0806*I28,I28&gt;=3300,0.0706*I28,I28&gt;=2500,0.0676*I28,TRUE,0.02*I28)+10)*H28</f>
        <v>1602457.1426181819</v>
      </c>
    </row>
    <row r="29" spans="1:12" x14ac:dyDescent="0.15">
      <c r="A29">
        <v>28</v>
      </c>
      <c r="B29" t="s">
        <v>8</v>
      </c>
      <c r="C29" t="s">
        <v>84</v>
      </c>
      <c r="D29" t="s">
        <v>82</v>
      </c>
      <c r="E29" t="s">
        <v>83</v>
      </c>
      <c r="F29" t="s">
        <v>12</v>
      </c>
      <c r="G29">
        <v>127</v>
      </c>
      <c r="H29">
        <v>2381.3200000000002</v>
      </c>
      <c r="I29">
        <v>4643</v>
      </c>
      <c r="J29">
        <f>VLOOKUP(D29,运费!B:C,2,0)</f>
        <v>21.8</v>
      </c>
      <c r="K29" s="8">
        <f t="shared" si="0"/>
        <v>51912.776000000005</v>
      </c>
      <c r="L29" s="8" cm="1">
        <f t="array" ref="L29">(_xlfn.IFS(I29&gt;=4300,570/5500*I29,I29&gt;=3800,0.0806*I29,I29&gt;=3300,0.0706*I29,I29&gt;=2500,0.0676*I29,TRUE,0.02*I29)+10)*H29</f>
        <v>1169665.4169454547</v>
      </c>
    </row>
    <row r="30" spans="1:12" x14ac:dyDescent="0.15">
      <c r="A30">
        <v>29</v>
      </c>
      <c r="B30" t="s">
        <v>8</v>
      </c>
      <c r="C30" t="s">
        <v>85</v>
      </c>
      <c r="D30" t="s">
        <v>86</v>
      </c>
      <c r="E30" t="s">
        <v>87</v>
      </c>
      <c r="F30" t="s">
        <v>12</v>
      </c>
      <c r="G30">
        <v>199</v>
      </c>
      <c r="H30">
        <v>3682.26</v>
      </c>
      <c r="I30">
        <v>3408</v>
      </c>
      <c r="J30">
        <f>VLOOKUP(D30,运费!B:C,2,0)</f>
        <v>116.8</v>
      </c>
      <c r="K30" s="8">
        <f t="shared" si="0"/>
        <v>430087.96799999999</v>
      </c>
      <c r="L30" s="8" cm="1">
        <f t="array" ref="L30">(_xlfn.IFS(I30&gt;=4300,570/5500*I30,I30&gt;=3800,0.0806*I30,I30&gt;=3300,0.0706*I30,I30&gt;=2500,0.0676*I30,TRUE,0.02*I30)+10)*H30</f>
        <v>922792.03084799997</v>
      </c>
    </row>
    <row r="31" spans="1:12" x14ac:dyDescent="0.15">
      <c r="A31">
        <v>30</v>
      </c>
      <c r="B31" t="s">
        <v>8</v>
      </c>
      <c r="C31" t="s">
        <v>88</v>
      </c>
      <c r="D31" t="s">
        <v>89</v>
      </c>
      <c r="E31" t="s">
        <v>90</v>
      </c>
      <c r="F31" t="s">
        <v>12</v>
      </c>
      <c r="G31">
        <v>1319</v>
      </c>
      <c r="H31">
        <v>24573.08</v>
      </c>
      <c r="I31">
        <v>4818</v>
      </c>
      <c r="J31">
        <f>VLOOKUP(D31,运费!B:C,2,0)</f>
        <v>108.51</v>
      </c>
      <c r="K31" s="8">
        <f t="shared" si="0"/>
        <v>2666424.9108000002</v>
      </c>
      <c r="L31" s="8" cm="1">
        <f t="array" ref="L31">(_xlfn.IFS(I31&gt;=4300,570/5500*I31,I31&gt;=3800,0.0806*I31,I31&gt;=3300,0.0706*I31,I31&gt;=2500,0.0676*I31,TRUE,0.02*I31)+10)*H31</f>
        <v>12515561.105600001</v>
      </c>
    </row>
    <row r="32" spans="1:12" x14ac:dyDescent="0.15">
      <c r="A32">
        <v>31</v>
      </c>
      <c r="B32" t="s">
        <v>8</v>
      </c>
      <c r="C32" t="s">
        <v>91</v>
      </c>
      <c r="D32" t="s">
        <v>92</v>
      </c>
      <c r="E32" t="s">
        <v>93</v>
      </c>
      <c r="F32" t="s">
        <v>12</v>
      </c>
      <c r="G32">
        <v>142</v>
      </c>
      <c r="H32">
        <v>4256.12</v>
      </c>
      <c r="I32">
        <v>4367</v>
      </c>
      <c r="J32">
        <f>VLOOKUP(D32,运费!B:C,2,0)</f>
        <v>33.79</v>
      </c>
      <c r="K32" s="8">
        <f t="shared" si="0"/>
        <v>143814.2948</v>
      </c>
      <c r="L32" s="8" cm="1">
        <f t="array" ref="L32">(_xlfn.IFS(I32&gt;=4300,570/5500*I32,I32&gt;=3800,0.0806*I32,I32&gt;=3300,0.0706*I32,I32&gt;=2500,0.0676*I32,TRUE,0.02*I32)+10)*H32</f>
        <v>1968795.9896</v>
      </c>
    </row>
    <row r="33" spans="1:12" x14ac:dyDescent="0.15">
      <c r="A33">
        <v>32</v>
      </c>
      <c r="B33" t="s">
        <v>8</v>
      </c>
      <c r="C33" t="s">
        <v>94</v>
      </c>
      <c r="D33" t="s">
        <v>92</v>
      </c>
      <c r="E33" t="s">
        <v>93</v>
      </c>
      <c r="F33" t="s">
        <v>12</v>
      </c>
      <c r="G33">
        <v>49</v>
      </c>
      <c r="H33">
        <v>1495.16</v>
      </c>
      <c r="I33">
        <v>4367</v>
      </c>
      <c r="J33">
        <f>VLOOKUP(D33,运费!B:C,2,0)</f>
        <v>33.79</v>
      </c>
      <c r="K33" s="8">
        <f t="shared" si="0"/>
        <v>50521.456400000003</v>
      </c>
      <c r="L33" s="8" cm="1">
        <f t="array" ref="L33">(_xlfn.IFS(I33&gt;=4300,570/5500*I33,I33&gt;=3800,0.0806*I33,I33&gt;=3300,0.0706*I33,I33&gt;=2500,0.0676*I33,TRUE,0.02*I33)+10)*H33</f>
        <v>691631.1128</v>
      </c>
    </row>
    <row r="34" spans="1:12" x14ac:dyDescent="0.15">
      <c r="A34">
        <v>33</v>
      </c>
      <c r="B34" t="s">
        <v>8</v>
      </c>
      <c r="C34" t="s">
        <v>95</v>
      </c>
      <c r="D34" t="s">
        <v>96</v>
      </c>
      <c r="E34" t="s">
        <v>97</v>
      </c>
      <c r="F34" t="s">
        <v>12</v>
      </c>
      <c r="G34">
        <v>169</v>
      </c>
      <c r="H34">
        <v>5461.56</v>
      </c>
      <c r="I34">
        <v>3762</v>
      </c>
      <c r="J34">
        <f>VLOOKUP(D34,运费!B:C,2,0)</f>
        <v>60.5</v>
      </c>
      <c r="K34" s="8">
        <f t="shared" si="0"/>
        <v>330424.38</v>
      </c>
      <c r="L34" s="8" cm="1">
        <f t="array" ref="L34">(_xlfn.IFS(I34&gt;=4300,570/5500*I34,I34&gt;=3800,0.0806*I34,I34&gt;=3300,0.0706*I34,I34&gt;=2500,0.0676*I34,TRUE,0.02*I34)+10)*H34</f>
        <v>1505190.6436320001</v>
      </c>
    </row>
    <row r="35" spans="1:12" x14ac:dyDescent="0.15">
      <c r="A35">
        <v>1</v>
      </c>
      <c r="B35" t="s">
        <v>98</v>
      </c>
      <c r="C35" t="s">
        <v>99</v>
      </c>
      <c r="D35" t="s">
        <v>10</v>
      </c>
      <c r="E35" t="s">
        <v>100</v>
      </c>
      <c r="F35" t="s">
        <v>12</v>
      </c>
      <c r="G35">
        <v>1864</v>
      </c>
      <c r="H35">
        <v>34467.599999999999</v>
      </c>
      <c r="I35">
        <v>3243</v>
      </c>
      <c r="J35">
        <f>VLOOKUP(D35,运费!B:C,2,0)</f>
        <v>147.1</v>
      </c>
      <c r="K35" s="8">
        <f t="shared" si="0"/>
        <v>5070183.96</v>
      </c>
      <c r="L35" s="8" cm="1">
        <f t="array" ref="L35">(_xlfn.IFS(I35&gt;=4300,570/5500*I35,I35&gt;=3800,0.0806*I35,I35&gt;=3300,0.0706*I35,I35&gt;=2500,0.0676*I35,TRUE,0.02*I35)+10)*H35</f>
        <v>7900897.6516799983</v>
      </c>
    </row>
    <row r="36" spans="1:12" x14ac:dyDescent="0.15">
      <c r="A36">
        <v>2</v>
      </c>
      <c r="B36" t="s">
        <v>98</v>
      </c>
      <c r="C36" t="s">
        <v>13</v>
      </c>
      <c r="D36" t="s">
        <v>14</v>
      </c>
      <c r="E36" t="s">
        <v>101</v>
      </c>
      <c r="F36" t="s">
        <v>12</v>
      </c>
      <c r="G36">
        <v>163</v>
      </c>
      <c r="H36">
        <v>4805.0200000000004</v>
      </c>
      <c r="I36">
        <v>3541</v>
      </c>
      <c r="J36">
        <f>VLOOKUP(D36,运费!B:C,2,0)</f>
        <v>192.75</v>
      </c>
      <c r="K36" s="8">
        <f t="shared" si="0"/>
        <v>926167.6050000001</v>
      </c>
      <c r="L36" s="8" cm="1">
        <f t="array" ref="L36">(_xlfn.IFS(I36&gt;=4300,570/5500*I36,I36&gt;=3800,0.0806*I36,I36&gt;=3300,0.0706*I36,I36&gt;=2500,0.0676*I36,TRUE,0.02*I36)+10)*H36</f>
        <v>1249279.2528920001</v>
      </c>
    </row>
    <row r="37" spans="1:12" x14ac:dyDescent="0.15">
      <c r="A37">
        <v>3</v>
      </c>
      <c r="B37" t="s">
        <v>98</v>
      </c>
      <c r="C37" t="s">
        <v>16</v>
      </c>
      <c r="D37" t="s">
        <v>17</v>
      </c>
      <c r="E37" t="s">
        <v>102</v>
      </c>
      <c r="F37" t="s">
        <v>12</v>
      </c>
      <c r="G37">
        <v>361</v>
      </c>
      <c r="H37">
        <v>6656.3</v>
      </c>
      <c r="I37">
        <v>4429</v>
      </c>
      <c r="J37">
        <f>VLOOKUP(D37,运费!B:C,2,0)</f>
        <v>21.8</v>
      </c>
      <c r="K37" s="8">
        <f t="shared" si="0"/>
        <v>145107.34</v>
      </c>
      <c r="L37" s="8" cm="1">
        <f t="array" ref="L37">(_xlfn.IFS(I37&gt;=4300,570/5500*I37,I37&gt;=3800,0.0806*I37,I37&gt;=3300,0.0706*I37,I37&gt;=2500,0.0676*I37,TRUE,0.02*I37)+10)*H37</f>
        <v>3121841.0070909089</v>
      </c>
    </row>
    <row r="38" spans="1:12" x14ac:dyDescent="0.15">
      <c r="A38">
        <v>4</v>
      </c>
      <c r="B38" t="s">
        <v>98</v>
      </c>
      <c r="C38" t="s">
        <v>23</v>
      </c>
      <c r="D38" t="s">
        <v>24</v>
      </c>
      <c r="E38" t="s">
        <v>103</v>
      </c>
      <c r="F38" t="s">
        <v>12</v>
      </c>
      <c r="G38">
        <v>77</v>
      </c>
      <c r="H38">
        <v>1465.92</v>
      </c>
      <c r="I38">
        <v>4310</v>
      </c>
      <c r="J38">
        <f>VLOOKUP(D38,运费!B:C,2,0)</f>
        <v>33.79</v>
      </c>
      <c r="K38" s="8">
        <f t="shared" si="0"/>
        <v>49533.436800000003</v>
      </c>
      <c r="L38" s="8" cm="1">
        <f t="array" ref="L38">(_xlfn.IFS(I38&gt;=4300,570/5500*I38,I38&gt;=3800,0.0806*I38,I38&gt;=3300,0.0706*I38,I38&gt;=2500,0.0676*I38,TRUE,0.02*I38)+10)*H38</f>
        <v>669445.68436363642</v>
      </c>
    </row>
    <row r="39" spans="1:12" x14ac:dyDescent="0.15">
      <c r="A39">
        <v>5</v>
      </c>
      <c r="B39" t="s">
        <v>98</v>
      </c>
      <c r="C39" t="s">
        <v>104</v>
      </c>
      <c r="D39" t="s">
        <v>27</v>
      </c>
      <c r="E39" t="s">
        <v>105</v>
      </c>
      <c r="F39" t="s">
        <v>12</v>
      </c>
      <c r="G39">
        <v>78</v>
      </c>
      <c r="H39">
        <v>2508.56</v>
      </c>
      <c r="I39">
        <v>3970</v>
      </c>
      <c r="J39">
        <f>VLOOKUP(D39,运费!B:C,2,0)</f>
        <v>104.5</v>
      </c>
      <c r="K39" s="8">
        <f t="shared" si="0"/>
        <v>262144.52</v>
      </c>
      <c r="L39" s="8" cm="1">
        <f t="array" ref="L39">(_xlfn.IFS(I39&gt;=4300,570/5500*I39,I39&gt;=3800,0.0806*I39,I39&gt;=3300,0.0706*I39,I39&gt;=2500,0.0676*I39,TRUE,0.02*I39)+10)*H39</f>
        <v>827779.64592000004</v>
      </c>
    </row>
    <row r="40" spans="1:12" x14ac:dyDescent="0.15">
      <c r="A40">
        <v>6</v>
      </c>
      <c r="B40" t="s">
        <v>98</v>
      </c>
      <c r="C40" t="s">
        <v>106</v>
      </c>
      <c r="D40" t="s">
        <v>33</v>
      </c>
      <c r="E40" t="s">
        <v>107</v>
      </c>
      <c r="F40" t="s">
        <v>12</v>
      </c>
      <c r="G40">
        <v>258</v>
      </c>
      <c r="H40">
        <v>8212.76</v>
      </c>
      <c r="I40">
        <v>3811</v>
      </c>
      <c r="J40">
        <f>VLOOKUP(D40,运费!B:C,2,0)</f>
        <v>58</v>
      </c>
      <c r="K40" s="8">
        <f t="shared" si="0"/>
        <v>476340.08</v>
      </c>
      <c r="L40" s="8" cm="1">
        <f t="array" ref="L40">(_xlfn.IFS(I40&gt;=4300,570/5500*I40,I40&gt;=3800,0.0806*I40,I40&gt;=3300,0.0706*I40,I40&gt;=2500,0.0676*I40,TRUE,0.02*I40)+10)*H40</f>
        <v>2604813.1658160002</v>
      </c>
    </row>
    <row r="41" spans="1:12" x14ac:dyDescent="0.15">
      <c r="A41">
        <v>7</v>
      </c>
      <c r="B41" t="s">
        <v>98</v>
      </c>
      <c r="C41" t="s">
        <v>35</v>
      </c>
      <c r="D41" t="s">
        <v>36</v>
      </c>
      <c r="E41" t="s">
        <v>108</v>
      </c>
      <c r="F41" t="s">
        <v>12</v>
      </c>
      <c r="G41">
        <v>511</v>
      </c>
      <c r="H41">
        <v>9008.76</v>
      </c>
      <c r="I41">
        <v>4024</v>
      </c>
      <c r="J41">
        <f>VLOOKUP(D41,运费!B:C,2,0)</f>
        <v>10.355</v>
      </c>
      <c r="K41" s="8">
        <f t="shared" si="0"/>
        <v>93285.709800000011</v>
      </c>
      <c r="L41" s="8" cm="1">
        <f t="array" ref="L41">(_xlfn.IFS(I41&gt;=4300,570/5500*I41,I41&gt;=3800,0.0806*I41,I41&gt;=3300,0.0706*I41,I41&gt;=2500,0.0676*I41,TRUE,0.02*I41)+10)*H41</f>
        <v>3011938.3693440002</v>
      </c>
    </row>
    <row r="42" spans="1:12" x14ac:dyDescent="0.15">
      <c r="A42">
        <v>8</v>
      </c>
      <c r="B42" t="s">
        <v>98</v>
      </c>
      <c r="C42" t="s">
        <v>109</v>
      </c>
      <c r="D42" t="s">
        <v>43</v>
      </c>
      <c r="E42" t="s">
        <v>110</v>
      </c>
      <c r="F42" t="s">
        <v>45</v>
      </c>
      <c r="G42">
        <v>237</v>
      </c>
      <c r="H42">
        <v>7537.78</v>
      </c>
      <c r="I42">
        <v>4102</v>
      </c>
      <c r="J42">
        <f>VLOOKUP(D42,运费!B:C,2,0)</f>
        <v>117</v>
      </c>
      <c r="K42" s="8">
        <f t="shared" si="0"/>
        <v>881920.26</v>
      </c>
      <c r="L42" s="8" cm="1">
        <f t="array" ref="L42">(_xlfn.IFS(I42&gt;=4300,570/5500*I42,I42&gt;=3800,0.0806*I42,I42&gt;=3300,0.0706*I42,I42&gt;=2500,0.0676*I42,TRUE,0.02*I42)+10)*H42</f>
        <v>2567527.6689360002</v>
      </c>
    </row>
    <row r="43" spans="1:12" x14ac:dyDescent="0.15">
      <c r="A43">
        <v>9</v>
      </c>
      <c r="B43" t="s">
        <v>98</v>
      </c>
      <c r="C43" t="s">
        <v>111</v>
      </c>
      <c r="D43" t="s">
        <v>47</v>
      </c>
      <c r="E43" t="s">
        <v>112</v>
      </c>
      <c r="F43" t="s">
        <v>45</v>
      </c>
      <c r="G43">
        <v>14</v>
      </c>
      <c r="H43">
        <v>441.28</v>
      </c>
      <c r="J43">
        <f>VLOOKUP(D43,运费!B:C,2,0)</f>
        <v>81</v>
      </c>
      <c r="K43" s="8">
        <f t="shared" si="0"/>
        <v>35743.68</v>
      </c>
      <c r="L43" s="8" cm="1">
        <f t="array" ref="L43">(_xlfn.IFS(I43&gt;=4300,570/5500*I43,I43&gt;=3800,0.0806*I43,I43&gt;=3300,0.0706*I43,I43&gt;=2500,0.0676*I43,TRUE,0.02*I43)+10)*H43</f>
        <v>4412.7999999999993</v>
      </c>
    </row>
    <row r="44" spans="1:12" x14ac:dyDescent="0.15">
      <c r="A44">
        <v>10</v>
      </c>
      <c r="B44" t="s">
        <v>98</v>
      </c>
      <c r="C44" t="s">
        <v>113</v>
      </c>
      <c r="D44" t="s">
        <v>50</v>
      </c>
      <c r="E44" t="s">
        <v>114</v>
      </c>
      <c r="F44" t="s">
        <v>45</v>
      </c>
      <c r="G44">
        <v>6</v>
      </c>
      <c r="H44">
        <v>193.4</v>
      </c>
      <c r="I44">
        <v>4146</v>
      </c>
      <c r="J44">
        <f>VLOOKUP(D44,运费!B:C,2,0)</f>
        <v>79</v>
      </c>
      <c r="K44" s="8">
        <f t="shared" si="0"/>
        <v>15278.6</v>
      </c>
      <c r="L44" s="8" cm="1">
        <f t="array" ref="L44">(_xlfn.IFS(I44&gt;=4300,570/5500*I44,I44&gt;=3800,0.0806*I44,I44&gt;=3300,0.0706*I44,I44&gt;=2500,0.0676*I44,TRUE,0.02*I44)+10)*H44</f>
        <v>66562.01384</v>
      </c>
    </row>
    <row r="45" spans="1:12" x14ac:dyDescent="0.15">
      <c r="A45">
        <v>11</v>
      </c>
      <c r="B45" t="s">
        <v>98</v>
      </c>
      <c r="C45" t="s">
        <v>58</v>
      </c>
      <c r="D45" t="s">
        <v>59</v>
      </c>
      <c r="E45" t="s">
        <v>115</v>
      </c>
      <c r="F45" t="s">
        <v>12</v>
      </c>
      <c r="G45">
        <v>376</v>
      </c>
      <c r="H45">
        <v>6697.86</v>
      </c>
      <c r="I45">
        <v>4105</v>
      </c>
      <c r="J45">
        <f>VLOOKUP(D45,运费!B:C,2,0)</f>
        <v>10.355</v>
      </c>
      <c r="K45" s="8">
        <f t="shared" si="0"/>
        <v>69356.340299999996</v>
      </c>
      <c r="L45" s="8" cm="1">
        <f t="array" ref="L45">(_xlfn.IFS(I45&gt;=4300,570/5500*I45,I45&gt;=3800,0.0806*I45,I45&gt;=3300,0.0706*I45,I45&gt;=2500,0.0676*I45,TRUE,0.02*I45)+10)*H45</f>
        <v>2283052.6531799999</v>
      </c>
    </row>
    <row r="46" spans="1:12" x14ac:dyDescent="0.15">
      <c r="A46">
        <v>12</v>
      </c>
      <c r="B46" t="s">
        <v>98</v>
      </c>
      <c r="C46" t="s">
        <v>116</v>
      </c>
      <c r="D46" t="s">
        <v>66</v>
      </c>
      <c r="E46" t="s">
        <v>117</v>
      </c>
      <c r="F46" t="s">
        <v>12</v>
      </c>
      <c r="G46">
        <v>77</v>
      </c>
      <c r="H46">
        <v>2505.84</v>
      </c>
      <c r="I46">
        <v>3959</v>
      </c>
      <c r="J46">
        <f>VLOOKUP(D46,运费!B:C,2,0)</f>
        <v>101.5</v>
      </c>
      <c r="K46" s="8">
        <f t="shared" si="0"/>
        <v>254342.76</v>
      </c>
      <c r="L46" s="8" cm="1">
        <f t="array" ref="L46">(_xlfn.IFS(I46&gt;=4300,570/5500*I46,I46&gt;=3800,0.0806*I46,I46&gt;=3300,0.0706*I46,I46&gt;=2500,0.0676*I46,TRUE,0.02*I46)+10)*H46</f>
        <v>824660.41713600012</v>
      </c>
    </row>
    <row r="47" spans="1:12" x14ac:dyDescent="0.15">
      <c r="A47">
        <v>13</v>
      </c>
      <c r="B47" t="s">
        <v>98</v>
      </c>
      <c r="C47" t="s">
        <v>118</v>
      </c>
      <c r="D47" t="s">
        <v>119</v>
      </c>
      <c r="E47" t="s">
        <v>120</v>
      </c>
      <c r="F47" t="s">
        <v>12</v>
      </c>
      <c r="G47">
        <v>13</v>
      </c>
      <c r="H47">
        <v>421.96</v>
      </c>
      <c r="J47">
        <f>VLOOKUP(D47,运费!B:C,2,0)</f>
        <v>105</v>
      </c>
      <c r="K47" s="8">
        <f t="shared" si="0"/>
        <v>44305.799999999996</v>
      </c>
      <c r="L47" s="8" cm="1">
        <f t="array" ref="L47">(_xlfn.IFS(I47&gt;=4300,570/5500*I47,I47&gt;=3800,0.0806*I47,I47&gt;=3300,0.0706*I47,I47&gt;=2500,0.0676*I47,TRUE,0.02*I47)+10)*H47</f>
        <v>4219.5999999999995</v>
      </c>
    </row>
    <row r="48" spans="1:12" x14ac:dyDescent="0.15">
      <c r="A48">
        <v>14</v>
      </c>
      <c r="B48" t="s">
        <v>98</v>
      </c>
      <c r="C48" t="s">
        <v>121</v>
      </c>
      <c r="D48" t="s">
        <v>69</v>
      </c>
      <c r="E48" t="s">
        <v>122</v>
      </c>
      <c r="F48" t="s">
        <v>12</v>
      </c>
      <c r="G48">
        <v>91</v>
      </c>
      <c r="H48">
        <v>2963.04</v>
      </c>
      <c r="I48">
        <v>4139</v>
      </c>
      <c r="J48">
        <f>VLOOKUP(D48,运费!B:C,2,0)</f>
        <v>104.5</v>
      </c>
      <c r="K48" s="8">
        <f t="shared" si="0"/>
        <v>309637.68</v>
      </c>
      <c r="L48" s="8" cm="1">
        <f t="array" ref="L48">(_xlfn.IFS(I48&gt;=4300,570/5500*I48,I48&gt;=3800,0.0806*I48,I48&gt;=3300,0.0706*I48,I48&gt;=2500,0.0676*I48,TRUE,0.02*I48)+10)*H48</f>
        <v>1018110.618336</v>
      </c>
    </row>
    <row r="49" spans="1:12" x14ac:dyDescent="0.15">
      <c r="A49">
        <v>15</v>
      </c>
      <c r="B49" t="s">
        <v>98</v>
      </c>
      <c r="C49" t="s">
        <v>74</v>
      </c>
      <c r="D49" t="s">
        <v>75</v>
      </c>
      <c r="E49" t="s">
        <v>123</v>
      </c>
      <c r="F49" t="s">
        <v>12</v>
      </c>
      <c r="G49">
        <v>292</v>
      </c>
      <c r="H49">
        <v>5396.88</v>
      </c>
      <c r="I49">
        <v>4283</v>
      </c>
      <c r="J49">
        <f>VLOOKUP(D49,运费!B:C,2,0)</f>
        <v>21.8</v>
      </c>
      <c r="K49" s="8">
        <f t="shared" si="0"/>
        <v>117651.98400000001</v>
      </c>
      <c r="L49" s="8" cm="1">
        <f t="array" ref="L49">(_xlfn.IFS(I49&gt;=4300,570/5500*I49,I49&gt;=3800,0.0806*I49,I49&gt;=3300,0.0706*I49,I49&gt;=2500,0.0676*I49,TRUE,0.02*I49)+10)*H49</f>
        <v>1917024.6654240002</v>
      </c>
    </row>
    <row r="50" spans="1:12" x14ac:dyDescent="0.15">
      <c r="A50">
        <v>16</v>
      </c>
      <c r="B50" t="s">
        <v>98</v>
      </c>
      <c r="C50" t="s">
        <v>81</v>
      </c>
      <c r="D50" t="s">
        <v>82</v>
      </c>
      <c r="E50" t="s">
        <v>124</v>
      </c>
      <c r="F50" t="s">
        <v>12</v>
      </c>
      <c r="G50">
        <v>900</v>
      </c>
      <c r="H50">
        <v>16706.099999999999</v>
      </c>
      <c r="I50">
        <v>4153</v>
      </c>
      <c r="J50">
        <f>VLOOKUP(D50,运费!B:C,2,0)</f>
        <v>21.8</v>
      </c>
      <c r="K50" s="8">
        <f t="shared" si="0"/>
        <v>364192.98</v>
      </c>
      <c r="L50" s="8" cm="1">
        <f t="array" ref="L50">(_xlfn.IFS(I50&gt;=4300,570/5500*I50,I50&gt;=3800,0.0806*I50,I50&gt;=3300,0.0706*I50,I50&gt;=2500,0.0676*I50,TRUE,0.02*I50)+10)*H50</f>
        <v>5759123.9239799995</v>
      </c>
    </row>
    <row r="51" spans="1:12" x14ac:dyDescent="0.15">
      <c r="A51">
        <v>17</v>
      </c>
      <c r="B51" t="s">
        <v>98</v>
      </c>
      <c r="C51" t="s">
        <v>125</v>
      </c>
      <c r="D51" t="s">
        <v>86</v>
      </c>
      <c r="E51" t="s">
        <v>126</v>
      </c>
      <c r="F51" t="s">
        <v>12</v>
      </c>
      <c r="G51">
        <v>124</v>
      </c>
      <c r="H51">
        <v>3591.06</v>
      </c>
      <c r="I51">
        <v>3064</v>
      </c>
      <c r="J51">
        <f>VLOOKUP(D51,运费!B:C,2,0)</f>
        <v>116.8</v>
      </c>
      <c r="K51" s="8">
        <f t="shared" si="0"/>
        <v>419435.80799999996</v>
      </c>
      <c r="L51" s="8" cm="1">
        <f t="array" ref="L51">(_xlfn.IFS(I51&gt;=4300,570/5500*I51,I51&gt;=3800,0.0806*I51,I51&gt;=3300,0.0706*I51,I51&gt;=2500,0.0676*I51,TRUE,0.02*I51)+10)*H51</f>
        <v>779713.92998399993</v>
      </c>
    </row>
    <row r="52" spans="1:12" x14ac:dyDescent="0.15">
      <c r="A52">
        <v>18</v>
      </c>
      <c r="B52" t="s">
        <v>98</v>
      </c>
      <c r="C52" t="s">
        <v>127</v>
      </c>
      <c r="D52" t="s">
        <v>86</v>
      </c>
      <c r="E52" t="s">
        <v>126</v>
      </c>
      <c r="F52" t="s">
        <v>12</v>
      </c>
      <c r="G52">
        <v>169</v>
      </c>
      <c r="H52">
        <v>3520.84</v>
      </c>
      <c r="I52">
        <v>3064</v>
      </c>
      <c r="J52">
        <f>VLOOKUP(D52,运费!B:C,2,0)</f>
        <v>116.8</v>
      </c>
      <c r="K52" s="8">
        <f t="shared" si="0"/>
        <v>411234.11200000002</v>
      </c>
      <c r="L52" s="8" cm="1">
        <f t="array" ref="L52">(_xlfn.IFS(I52&gt;=4300,570/5500*I52,I52&gt;=3800,0.0806*I52,I52&gt;=3300,0.0706*I52,I52&gt;=2500,0.0676*I52,TRUE,0.02*I52)+10)*H52</f>
        <v>764467.31417599996</v>
      </c>
    </row>
    <row r="53" spans="1:12" x14ac:dyDescent="0.15">
      <c r="A53">
        <v>19</v>
      </c>
      <c r="B53" t="s">
        <v>98</v>
      </c>
      <c r="C53" t="s">
        <v>88</v>
      </c>
      <c r="D53" t="s">
        <v>89</v>
      </c>
      <c r="E53" t="s">
        <v>128</v>
      </c>
      <c r="F53" t="s">
        <v>12</v>
      </c>
      <c r="G53">
        <v>380</v>
      </c>
      <c r="H53">
        <v>6978.76</v>
      </c>
      <c r="I53">
        <v>4863</v>
      </c>
      <c r="J53">
        <f>VLOOKUP(D53,运费!B:C,2,0)</f>
        <v>108.51</v>
      </c>
      <c r="K53" s="8">
        <f t="shared" si="0"/>
        <v>757265.2476</v>
      </c>
      <c r="L53" s="8" cm="1">
        <f t="array" ref="L53">(_xlfn.IFS(I53&gt;=4300,570/5500*I53,I53&gt;=3800,0.0806*I53,I53&gt;=3300,0.0706*I53,I53&gt;=2500,0.0676*I53,TRUE,0.02*I53)+10)*H53</f>
        <v>3586968.4421090912</v>
      </c>
    </row>
    <row r="54" spans="1:12" x14ac:dyDescent="0.15">
      <c r="A54">
        <v>20</v>
      </c>
      <c r="B54" t="s">
        <v>98</v>
      </c>
      <c r="C54" t="s">
        <v>129</v>
      </c>
      <c r="D54" t="s">
        <v>89</v>
      </c>
      <c r="E54" t="s">
        <v>128</v>
      </c>
      <c r="F54" t="s">
        <v>12</v>
      </c>
      <c r="G54">
        <v>745</v>
      </c>
      <c r="H54">
        <v>13746.38</v>
      </c>
      <c r="I54">
        <v>4863</v>
      </c>
      <c r="J54">
        <f>VLOOKUP(D54,运费!B:C,2,0)</f>
        <v>108.51</v>
      </c>
      <c r="K54" s="8">
        <f t="shared" si="0"/>
        <v>1491619.6938</v>
      </c>
      <c r="L54" s="8" cm="1">
        <f t="array" ref="L54">(_xlfn.IFS(I54&gt;=4300,570/5500*I54,I54&gt;=3800,0.0806*I54,I54&gt;=3300,0.0706*I54,I54&gt;=2500,0.0676*I54,TRUE,0.02*I54)+10)*H54</f>
        <v>7065414.3792363638</v>
      </c>
    </row>
    <row r="55" spans="1:12" x14ac:dyDescent="0.15">
      <c r="A55">
        <v>21</v>
      </c>
      <c r="B55" t="s">
        <v>98</v>
      </c>
      <c r="C55" t="s">
        <v>91</v>
      </c>
      <c r="D55" t="s">
        <v>92</v>
      </c>
      <c r="E55" t="s">
        <v>130</v>
      </c>
      <c r="F55" t="s">
        <v>12</v>
      </c>
      <c r="G55">
        <v>32</v>
      </c>
      <c r="H55">
        <v>723.02</v>
      </c>
      <c r="I55">
        <v>4374</v>
      </c>
      <c r="J55">
        <f>VLOOKUP(D55,运费!B:C,2,0)</f>
        <v>33.79</v>
      </c>
      <c r="K55" s="8">
        <f t="shared" si="0"/>
        <v>24430.845799999999</v>
      </c>
      <c r="L55" s="8" cm="1">
        <f t="array" ref="L55">(_xlfn.IFS(I55&gt;=4300,570/5500*I55,I55&gt;=3800,0.0806*I55,I55&gt;=3300,0.0706*I55,I55&gt;=2500,0.0676*I55,TRUE,0.02*I55)+10)*H55</f>
        <v>334979.10974545457</v>
      </c>
    </row>
    <row r="56" spans="1:12" x14ac:dyDescent="0.15">
      <c r="A56">
        <v>22</v>
      </c>
      <c r="B56" t="s">
        <v>98</v>
      </c>
      <c r="C56" t="s">
        <v>131</v>
      </c>
      <c r="D56" t="s">
        <v>96</v>
      </c>
      <c r="E56" t="s">
        <v>132</v>
      </c>
      <c r="F56" t="s">
        <v>12</v>
      </c>
      <c r="G56">
        <v>92</v>
      </c>
      <c r="H56">
        <v>2937.34</v>
      </c>
      <c r="I56">
        <v>4579</v>
      </c>
      <c r="J56">
        <f>VLOOKUP(D56,运费!B:C,2,0)</f>
        <v>60.5</v>
      </c>
      <c r="K56" s="8">
        <f t="shared" si="0"/>
        <v>177709.07</v>
      </c>
      <c r="L56" s="8" cm="1">
        <f t="array" ref="L56">(_xlfn.IFS(I56&gt;=4300,570/5500*I56,I56&gt;=3800,0.0806*I56,I56&gt;=3300,0.0706*I56,I56&gt;=2500,0.0676*I56,TRUE,0.02*I56)+10)*H56</f>
        <v>1423290.7673090911</v>
      </c>
    </row>
    <row r="57" spans="1:12" x14ac:dyDescent="0.15">
      <c r="A57">
        <v>1</v>
      </c>
      <c r="B57" t="s">
        <v>133</v>
      </c>
      <c r="C57" t="s">
        <v>99</v>
      </c>
      <c r="D57" t="s">
        <v>10</v>
      </c>
      <c r="E57" t="s">
        <v>134</v>
      </c>
      <c r="F57" t="s">
        <v>12</v>
      </c>
      <c r="G57">
        <v>1086</v>
      </c>
      <c r="H57">
        <v>20164.900000000001</v>
      </c>
      <c r="I57">
        <v>3409</v>
      </c>
      <c r="J57">
        <f>VLOOKUP(D57,运费!B:C,2,0)</f>
        <v>147.1</v>
      </c>
      <c r="K57" s="8">
        <f t="shared" si="0"/>
        <v>2966256.79</v>
      </c>
      <c r="L57" s="8" cm="1">
        <f t="array" ref="L57">(_xlfn.IFS(I57&gt;=4300,570/5500*I57,I57&gt;=3800,0.0806*I57,I57&gt;=3300,0.0706*I57,I57&gt;=2500,0.0676*I57,TRUE,0.02*I57)+10)*H57</f>
        <v>5054844.3734600004</v>
      </c>
    </row>
    <row r="58" spans="1:12" x14ac:dyDescent="0.15">
      <c r="A58">
        <v>2</v>
      </c>
      <c r="B58" t="s">
        <v>133</v>
      </c>
      <c r="C58" t="s">
        <v>135</v>
      </c>
      <c r="D58" t="s">
        <v>10</v>
      </c>
      <c r="E58" t="s">
        <v>134</v>
      </c>
      <c r="F58" t="s">
        <v>12</v>
      </c>
      <c r="G58">
        <v>1393</v>
      </c>
      <c r="H58">
        <v>26168.38</v>
      </c>
      <c r="I58">
        <v>3409</v>
      </c>
      <c r="J58">
        <f>VLOOKUP(D58,运费!B:C,2,0)</f>
        <v>147.1</v>
      </c>
      <c r="K58" s="8">
        <f t="shared" si="0"/>
        <v>3849368.6979999999</v>
      </c>
      <c r="L58" s="8" cm="1">
        <f t="array" ref="L58">(_xlfn.IFS(I58&gt;=4300,570/5500*I58,I58&gt;=3800,0.0806*I58,I58&gt;=3300,0.0706*I58,I58&gt;=2500,0.0676*I58,TRUE,0.02*I58)+10)*H58</f>
        <v>6559769.1238520006</v>
      </c>
    </row>
    <row r="59" spans="1:12" x14ac:dyDescent="0.15">
      <c r="A59">
        <v>3</v>
      </c>
      <c r="B59" t="s">
        <v>133</v>
      </c>
      <c r="C59" t="s">
        <v>104</v>
      </c>
      <c r="D59" t="s">
        <v>27</v>
      </c>
      <c r="E59" t="s">
        <v>136</v>
      </c>
      <c r="F59" t="s">
        <v>12</v>
      </c>
      <c r="G59">
        <v>16</v>
      </c>
      <c r="H59">
        <v>517.74</v>
      </c>
      <c r="I59">
        <v>3944</v>
      </c>
      <c r="J59">
        <f>VLOOKUP(D59,运费!B:C,2,0)</f>
        <v>104.5</v>
      </c>
      <c r="K59" s="8">
        <f t="shared" si="0"/>
        <v>54103.83</v>
      </c>
      <c r="L59" s="8" cm="1">
        <f t="array" ref="L59">(_xlfn.IFS(I59&gt;=4300,570/5500*I59,I59&gt;=3800,0.0806*I59,I59&gt;=3300,0.0706*I59,I59&gt;=2500,0.0676*I59,TRUE,0.02*I59)+10)*H59</f>
        <v>169759.90473600003</v>
      </c>
    </row>
    <row r="60" spans="1:12" x14ac:dyDescent="0.15">
      <c r="A60">
        <v>4</v>
      </c>
      <c r="B60" t="s">
        <v>133</v>
      </c>
      <c r="C60" t="s">
        <v>137</v>
      </c>
      <c r="D60" t="s">
        <v>27</v>
      </c>
      <c r="E60" t="s">
        <v>136</v>
      </c>
      <c r="F60" t="s">
        <v>12</v>
      </c>
      <c r="G60">
        <v>247</v>
      </c>
      <c r="H60">
        <v>7947.3</v>
      </c>
      <c r="I60">
        <v>3944</v>
      </c>
      <c r="J60">
        <f>VLOOKUP(D60,运费!B:C,2,0)</f>
        <v>104.5</v>
      </c>
      <c r="K60" s="8">
        <f t="shared" si="0"/>
        <v>830492.85</v>
      </c>
      <c r="L60" s="8" cm="1">
        <f t="array" ref="L60">(_xlfn.IFS(I60&gt;=4300,570/5500*I60,I60&gt;=3800,0.0806*I60,I60&gt;=3300,0.0706*I60,I60&gt;=2500,0.0676*I60,TRUE,0.02*I60)+10)*H60</f>
        <v>2605811.5867200005</v>
      </c>
    </row>
    <row r="61" spans="1:12" x14ac:dyDescent="0.15">
      <c r="A61">
        <v>5</v>
      </c>
      <c r="B61" t="s">
        <v>133</v>
      </c>
      <c r="C61" t="s">
        <v>138</v>
      </c>
      <c r="D61" t="s">
        <v>30</v>
      </c>
      <c r="E61" t="s">
        <v>139</v>
      </c>
      <c r="F61" t="s">
        <v>12</v>
      </c>
      <c r="G61">
        <v>77</v>
      </c>
      <c r="H61">
        <v>2414.38</v>
      </c>
      <c r="I61">
        <v>3812</v>
      </c>
      <c r="J61">
        <f>VLOOKUP(D61,运费!B:C,2,0)</f>
        <v>78</v>
      </c>
      <c r="K61" s="8">
        <f t="shared" si="0"/>
        <v>188321.64</v>
      </c>
      <c r="L61" s="8" cm="1">
        <f t="array" ref="L61">(_xlfn.IFS(I61&gt;=4300,570/5500*I61,I61&gt;=3800,0.0806*I61,I61&gt;=3300,0.0706*I61,I61&gt;=2500,0.0676*I61,TRUE,0.02*I61)+10)*H61</f>
        <v>765955.29473600013</v>
      </c>
    </row>
    <row r="62" spans="1:12" x14ac:dyDescent="0.15">
      <c r="A62">
        <v>6</v>
      </c>
      <c r="B62" t="s">
        <v>133</v>
      </c>
      <c r="C62" t="s">
        <v>140</v>
      </c>
      <c r="D62" t="s">
        <v>33</v>
      </c>
      <c r="E62" t="s">
        <v>141</v>
      </c>
      <c r="F62" t="s">
        <v>12</v>
      </c>
      <c r="G62">
        <v>130</v>
      </c>
      <c r="H62">
        <v>4149.18</v>
      </c>
      <c r="I62">
        <v>4585</v>
      </c>
      <c r="J62">
        <f>VLOOKUP(D62,运费!B:C,2,0)</f>
        <v>58</v>
      </c>
      <c r="K62" s="8">
        <f t="shared" si="0"/>
        <v>240652.44</v>
      </c>
      <c r="L62" s="8" cm="1">
        <f t="array" ref="L62">(_xlfn.IFS(I62&gt;=4300,570/5500*I62,I62&gt;=3800,0.0806*I62,I62&gt;=3300,0.0706*I62,I62&gt;=2500,0.0676*I62,TRUE,0.02*I62)+10)*H62</f>
        <v>2013068.9765454547</v>
      </c>
    </row>
    <row r="63" spans="1:12" x14ac:dyDescent="0.15">
      <c r="A63">
        <v>7</v>
      </c>
      <c r="B63" t="s">
        <v>133</v>
      </c>
      <c r="C63" t="s">
        <v>109</v>
      </c>
      <c r="D63" t="s">
        <v>43</v>
      </c>
      <c r="E63" t="s">
        <v>142</v>
      </c>
      <c r="F63" t="s">
        <v>45</v>
      </c>
      <c r="G63">
        <v>74</v>
      </c>
      <c r="H63">
        <v>2356</v>
      </c>
      <c r="I63">
        <v>4609</v>
      </c>
      <c r="J63">
        <f>VLOOKUP(D63,运费!B:C,2,0)</f>
        <v>117</v>
      </c>
      <c r="K63" s="8">
        <f t="shared" si="0"/>
        <v>275652</v>
      </c>
      <c r="L63" s="8" cm="1">
        <f t="array" ref="L63">(_xlfn.IFS(I63&gt;=4300,570/5500*I63,I63&gt;=3800,0.0806*I63,I63&gt;=3300,0.0706*I63,I63&gt;=2500,0.0676*I63,TRUE,0.02*I63)+10)*H63</f>
        <v>1148926.96</v>
      </c>
    </row>
    <row r="64" spans="1:12" x14ac:dyDescent="0.15">
      <c r="A64">
        <v>8</v>
      </c>
      <c r="B64" t="s">
        <v>133</v>
      </c>
      <c r="C64" t="s">
        <v>143</v>
      </c>
      <c r="D64" t="s">
        <v>43</v>
      </c>
      <c r="E64" t="s">
        <v>142</v>
      </c>
      <c r="F64" t="s">
        <v>45</v>
      </c>
      <c r="G64">
        <v>450</v>
      </c>
      <c r="H64">
        <v>14344.18</v>
      </c>
      <c r="I64">
        <v>4609</v>
      </c>
      <c r="J64">
        <f>VLOOKUP(D64,运费!B:C,2,0)</f>
        <v>117</v>
      </c>
      <c r="K64" s="8">
        <f t="shared" si="0"/>
        <v>1678269.06</v>
      </c>
      <c r="L64" s="8" cm="1">
        <f t="array" ref="L64">(_xlfn.IFS(I64&gt;=4300,570/5500*I64,I64&gt;=3800,0.0806*I64,I64&gt;=3300,0.0706*I64,I64&gt;=2500,0.0676*I64,TRUE,0.02*I64)+10)*H64</f>
        <v>6995082.8188000005</v>
      </c>
    </row>
    <row r="65" spans="1:12" x14ac:dyDescent="0.15">
      <c r="A65">
        <v>9</v>
      </c>
      <c r="B65" t="s">
        <v>133</v>
      </c>
      <c r="C65" t="s">
        <v>144</v>
      </c>
      <c r="D65" t="s">
        <v>47</v>
      </c>
      <c r="E65" t="s">
        <v>145</v>
      </c>
      <c r="F65" t="s">
        <v>45</v>
      </c>
      <c r="G65">
        <v>31</v>
      </c>
      <c r="H65">
        <v>992.44</v>
      </c>
      <c r="I65">
        <v>3791</v>
      </c>
      <c r="J65">
        <f>VLOOKUP(D65,运费!B:C,2,0)</f>
        <v>81</v>
      </c>
      <c r="K65" s="8">
        <f t="shared" si="0"/>
        <v>80387.64</v>
      </c>
      <c r="L65" s="8" cm="1">
        <f t="array" ref="L65">(_xlfn.IFS(I65&gt;=4300,570/5500*I65,I65&gt;=3800,0.0806*I65,I65&gt;=3300,0.0706*I65,I65&gt;=2500,0.0676*I65,TRUE,0.02*I65)+10)*H65</f>
        <v>275545.60682399996</v>
      </c>
    </row>
    <row r="66" spans="1:12" x14ac:dyDescent="0.15">
      <c r="A66">
        <v>10</v>
      </c>
      <c r="B66" t="s">
        <v>133</v>
      </c>
      <c r="C66" t="s">
        <v>146</v>
      </c>
      <c r="D66" t="s">
        <v>147</v>
      </c>
      <c r="E66" t="s">
        <v>148</v>
      </c>
      <c r="F66" t="s">
        <v>45</v>
      </c>
      <c r="G66">
        <v>111</v>
      </c>
      <c r="H66">
        <v>3411.62</v>
      </c>
      <c r="I66">
        <v>3091</v>
      </c>
      <c r="J66">
        <f>VLOOKUP(D66,运费!B:C,2,0)</f>
        <v>70</v>
      </c>
      <c r="K66" s="8">
        <f t="shared" si="0"/>
        <v>238813.4</v>
      </c>
      <c r="L66" s="8" cm="1">
        <f t="array" ref="L66">(_xlfn.IFS(I66&gt;=4300,570/5500*I66,I66&gt;=3800,0.0806*I66,I66&gt;=3300,0.0706*I66,I66&gt;=2500,0.0676*I66,TRUE,0.02*I66)+10)*H66</f>
        <v>746979.65759199997</v>
      </c>
    </row>
    <row r="67" spans="1:12" x14ac:dyDescent="0.15">
      <c r="A67">
        <v>11</v>
      </c>
      <c r="B67" t="s">
        <v>133</v>
      </c>
      <c r="C67" t="s">
        <v>149</v>
      </c>
      <c r="D67" t="s">
        <v>50</v>
      </c>
      <c r="E67" t="s">
        <v>150</v>
      </c>
      <c r="F67" t="s">
        <v>45</v>
      </c>
      <c r="G67">
        <v>94</v>
      </c>
      <c r="H67">
        <v>2976.02</v>
      </c>
      <c r="I67">
        <v>3679</v>
      </c>
      <c r="J67">
        <f>VLOOKUP(D67,运费!B:C,2,0)</f>
        <v>79</v>
      </c>
      <c r="K67" s="8">
        <f t="shared" ref="K67:K130" si="1">H67*J67</f>
        <v>235105.58</v>
      </c>
      <c r="L67" s="8" cm="1">
        <f t="array" ref="L67">(_xlfn.IFS(I67&gt;=4300,570/5500*I67,I67&gt;=3800,0.0806*I67,I67&gt;=3300,0.0706*I67,I67&gt;=2500,0.0676*I67,TRUE,0.02*I67)+10)*H67</f>
        <v>802743.89714799996</v>
      </c>
    </row>
    <row r="68" spans="1:12" x14ac:dyDescent="0.15">
      <c r="A68">
        <v>12</v>
      </c>
      <c r="B68" t="s">
        <v>133</v>
      </c>
      <c r="C68" t="s">
        <v>151</v>
      </c>
      <c r="D68" t="s">
        <v>56</v>
      </c>
      <c r="E68" t="s">
        <v>152</v>
      </c>
      <c r="F68" t="s">
        <v>12</v>
      </c>
      <c r="G68">
        <v>527</v>
      </c>
      <c r="H68">
        <v>16550.900000000001</v>
      </c>
      <c r="I68">
        <v>3366</v>
      </c>
      <c r="J68">
        <f>VLOOKUP(D68,运费!B:C,2,0)</f>
        <v>67</v>
      </c>
      <c r="K68" s="8">
        <f t="shared" si="1"/>
        <v>1108910.3</v>
      </c>
      <c r="L68" s="8" cm="1">
        <f t="array" ref="L68">(_xlfn.IFS(I68&gt;=4300,570/5500*I68,I68&gt;=3800,0.0806*I68,I68&gt;=3300,0.0706*I68,I68&gt;=2500,0.0676*I68,TRUE,0.02*I68)+10)*H68</f>
        <v>4098658.2556400001</v>
      </c>
    </row>
    <row r="69" spans="1:12" x14ac:dyDescent="0.15">
      <c r="A69">
        <v>13</v>
      </c>
      <c r="B69" t="s">
        <v>133</v>
      </c>
      <c r="C69" t="s">
        <v>153</v>
      </c>
      <c r="D69" t="s">
        <v>66</v>
      </c>
      <c r="E69" t="s">
        <v>154</v>
      </c>
      <c r="F69" t="s">
        <v>12</v>
      </c>
      <c r="G69">
        <v>152</v>
      </c>
      <c r="H69">
        <v>4931.08</v>
      </c>
      <c r="I69">
        <v>4619</v>
      </c>
      <c r="J69">
        <f>VLOOKUP(D69,运费!B:C,2,0)</f>
        <v>101.5</v>
      </c>
      <c r="K69" s="8">
        <f t="shared" si="1"/>
        <v>500504.62</v>
      </c>
      <c r="L69" s="8" cm="1">
        <f t="array" ref="L69">(_xlfn.IFS(I69&gt;=4300,570/5500*I69,I69&gt;=3800,0.0806*I69,I69&gt;=3300,0.0706*I69,I69&gt;=2500,0.0676*I69,TRUE,0.02*I69)+10)*H69</f>
        <v>2409800.8648000001</v>
      </c>
    </row>
    <row r="70" spans="1:12" x14ac:dyDescent="0.15">
      <c r="A70">
        <v>14</v>
      </c>
      <c r="B70" t="s">
        <v>133</v>
      </c>
      <c r="C70" t="s">
        <v>118</v>
      </c>
      <c r="D70" t="s">
        <v>119</v>
      </c>
      <c r="E70" t="s">
        <v>155</v>
      </c>
      <c r="F70" t="s">
        <v>12</v>
      </c>
      <c r="G70">
        <v>1</v>
      </c>
      <c r="H70">
        <v>33.64</v>
      </c>
      <c r="I70">
        <v>4710</v>
      </c>
      <c r="J70">
        <f>VLOOKUP(D70,运费!B:C,2,0)</f>
        <v>105</v>
      </c>
      <c r="K70" s="8">
        <f t="shared" si="1"/>
        <v>3532.2000000000003</v>
      </c>
      <c r="L70" s="8" cm="1">
        <f t="array" ref="L70">(_xlfn.IFS(I70&gt;=4300,570/5500*I70,I70&gt;=3800,0.0806*I70,I70&gt;=3300,0.0706*I70,I70&gt;=2500,0.0676*I70,TRUE,0.02*I70)+10)*H70</f>
        <v>16757.001454545454</v>
      </c>
    </row>
    <row r="71" spans="1:12" x14ac:dyDescent="0.15">
      <c r="A71">
        <v>15</v>
      </c>
      <c r="B71" t="s">
        <v>133</v>
      </c>
      <c r="C71" t="s">
        <v>156</v>
      </c>
      <c r="D71" t="s">
        <v>119</v>
      </c>
      <c r="E71" t="s">
        <v>155</v>
      </c>
      <c r="F71" t="s">
        <v>12</v>
      </c>
      <c r="G71">
        <v>169</v>
      </c>
      <c r="H71">
        <v>5532.1</v>
      </c>
      <c r="I71">
        <v>4710</v>
      </c>
      <c r="J71">
        <f>VLOOKUP(D71,运费!B:C,2,0)</f>
        <v>105</v>
      </c>
      <c r="K71" s="8">
        <f t="shared" si="1"/>
        <v>580870.5</v>
      </c>
      <c r="L71" s="8" cm="1">
        <f t="array" ref="L71">(_xlfn.IFS(I71&gt;=4300,570/5500*I71,I71&gt;=3800,0.0806*I71,I71&gt;=3300,0.0706*I71,I71&gt;=2500,0.0676*I71,TRUE,0.02*I71)+10)*H71</f>
        <v>2755689.8854545457</v>
      </c>
    </row>
    <row r="72" spans="1:12" x14ac:dyDescent="0.15">
      <c r="A72">
        <v>16</v>
      </c>
      <c r="B72" t="s">
        <v>133</v>
      </c>
      <c r="C72" t="s">
        <v>157</v>
      </c>
      <c r="D72" t="s">
        <v>69</v>
      </c>
      <c r="E72" t="s">
        <v>158</v>
      </c>
      <c r="F72" t="s">
        <v>12</v>
      </c>
      <c r="G72">
        <v>153</v>
      </c>
      <c r="H72">
        <v>4961.6000000000004</v>
      </c>
      <c r="I72">
        <v>5074</v>
      </c>
      <c r="J72">
        <f>VLOOKUP(D72,运费!B:C,2,0)</f>
        <v>104.5</v>
      </c>
      <c r="K72" s="8">
        <f t="shared" si="1"/>
        <v>518487.2</v>
      </c>
      <c r="L72" s="8" cm="1">
        <f t="array" ref="L72">(_xlfn.IFS(I72&gt;=4300,570/5500*I72,I72&gt;=3800,0.0806*I72,I72&gt;=3300,0.0706*I72,I72&gt;=2500,0.0676*I72,TRUE,0.02*I72)+10)*H72</f>
        <v>2658677.8705454548</v>
      </c>
    </row>
    <row r="73" spans="1:12" x14ac:dyDescent="0.15">
      <c r="A73">
        <v>17</v>
      </c>
      <c r="B73" t="s">
        <v>133</v>
      </c>
      <c r="C73" t="s">
        <v>159</v>
      </c>
      <c r="D73" t="s">
        <v>160</v>
      </c>
      <c r="E73" t="s">
        <v>161</v>
      </c>
      <c r="F73" t="s">
        <v>12</v>
      </c>
      <c r="G73">
        <v>801</v>
      </c>
      <c r="H73">
        <v>25583.54</v>
      </c>
      <c r="I73">
        <v>3205</v>
      </c>
      <c r="J73">
        <f>VLOOKUP(D73,运费!B:C,2,0)</f>
        <v>82</v>
      </c>
      <c r="K73" s="8">
        <f t="shared" si="1"/>
        <v>2097850.2800000003</v>
      </c>
      <c r="L73" s="8" cm="1">
        <f t="array" ref="L73">(_xlfn.IFS(I73&gt;=4300,570/5500*I73,I73&gt;=3800,0.0806*I73,I73&gt;=3300,0.0706*I73,I73&gt;=2500,0.0676*I73,TRUE,0.02*I73)+10)*H73</f>
        <v>5798714.0093200002</v>
      </c>
    </row>
    <row r="74" spans="1:12" x14ac:dyDescent="0.15">
      <c r="A74">
        <v>18</v>
      </c>
      <c r="B74" t="s">
        <v>133</v>
      </c>
      <c r="C74" t="s">
        <v>162</v>
      </c>
      <c r="D74" t="s">
        <v>86</v>
      </c>
      <c r="E74" t="s">
        <v>163</v>
      </c>
      <c r="F74" t="s">
        <v>12</v>
      </c>
      <c r="G74">
        <v>242</v>
      </c>
      <c r="H74">
        <v>6992.72</v>
      </c>
      <c r="I74">
        <v>2907</v>
      </c>
      <c r="J74">
        <f>VLOOKUP(D74,运费!B:C,2,0)</f>
        <v>116.8</v>
      </c>
      <c r="K74" s="8">
        <f t="shared" si="1"/>
        <v>816749.696</v>
      </c>
      <c r="L74" s="8" cm="1">
        <f t="array" ref="L74">(_xlfn.IFS(I74&gt;=4300,570/5500*I74,I74&gt;=3800,0.0806*I74,I74&gt;=3300,0.0706*I74,I74&gt;=2500,0.0676*I74,TRUE,0.02*I74)+10)*H74</f>
        <v>1444088.9839039999</v>
      </c>
    </row>
    <row r="75" spans="1:12" x14ac:dyDescent="0.15">
      <c r="A75">
        <v>19</v>
      </c>
      <c r="B75" t="s">
        <v>133</v>
      </c>
      <c r="C75" t="s">
        <v>164</v>
      </c>
      <c r="D75" t="s">
        <v>89</v>
      </c>
      <c r="E75" t="s">
        <v>165</v>
      </c>
      <c r="F75" t="s">
        <v>12</v>
      </c>
      <c r="G75">
        <v>733</v>
      </c>
      <c r="H75">
        <v>13766.7</v>
      </c>
      <c r="I75">
        <v>4942</v>
      </c>
      <c r="J75">
        <f>VLOOKUP(D75,运费!B:C,2,0)</f>
        <v>108.51</v>
      </c>
      <c r="K75" s="8">
        <f t="shared" si="1"/>
        <v>1493824.6170000001</v>
      </c>
      <c r="L75" s="8" cm="1">
        <f t="array" ref="L75">(_xlfn.IFS(I75&gt;=4300,570/5500*I75,I75&gt;=3800,0.0806*I75,I75&gt;=3300,0.0706*I75,I75&gt;=2500,0.0676*I75,TRUE,0.02*I75)+10)*H75</f>
        <v>7188570.2541818181</v>
      </c>
    </row>
    <row r="76" spans="1:12" x14ac:dyDescent="0.15">
      <c r="A76">
        <v>20</v>
      </c>
      <c r="B76" t="s">
        <v>133</v>
      </c>
      <c r="C76" t="s">
        <v>166</v>
      </c>
      <c r="D76" t="s">
        <v>96</v>
      </c>
      <c r="E76" t="s">
        <v>167</v>
      </c>
      <c r="F76" t="s">
        <v>12</v>
      </c>
      <c r="G76">
        <v>385</v>
      </c>
      <c r="H76">
        <v>12340.46</v>
      </c>
      <c r="I76">
        <v>2961</v>
      </c>
      <c r="J76">
        <f>VLOOKUP(D76,运费!B:C,2,0)</f>
        <v>60.5</v>
      </c>
      <c r="K76" s="8">
        <f t="shared" si="1"/>
        <v>746597.83</v>
      </c>
      <c r="L76" s="8" cm="1">
        <f t="array" ref="L76">(_xlfn.IFS(I76&gt;=4300,570/5500*I76,I76&gt;=3800,0.0806*I76,I76&gt;=3300,0.0706*I76,I76&gt;=2500,0.0676*I76,TRUE,0.02*I76)+10)*H76</f>
        <v>2593515.4992559995</v>
      </c>
    </row>
    <row r="77" spans="1:12" x14ac:dyDescent="0.15">
      <c r="A77">
        <v>1</v>
      </c>
      <c r="B77" t="s">
        <v>168</v>
      </c>
      <c r="C77" t="s">
        <v>135</v>
      </c>
      <c r="D77" t="s">
        <v>10</v>
      </c>
      <c r="E77" t="s">
        <v>169</v>
      </c>
      <c r="F77" t="s">
        <v>12</v>
      </c>
      <c r="G77">
        <v>1186</v>
      </c>
      <c r="H77">
        <v>22217.93</v>
      </c>
      <c r="I77">
        <v>3282</v>
      </c>
      <c r="J77">
        <f>VLOOKUP(D77,运费!B:C,2,0)</f>
        <v>147.1</v>
      </c>
      <c r="K77" s="8">
        <f t="shared" si="1"/>
        <v>3268257.503</v>
      </c>
      <c r="L77" s="8" cm="1">
        <f t="array" ref="L77">(_xlfn.IFS(I77&gt;=4300,570/5500*I77,I77&gt;=3800,0.0806*I77,I77&gt;=3300,0.0706*I77,I77&gt;=2500,0.0676*I77,TRUE,0.02*I77)+10)*H77</f>
        <v>5151520.3471759995</v>
      </c>
    </row>
    <row r="78" spans="1:12" x14ac:dyDescent="0.15">
      <c r="A78">
        <v>2</v>
      </c>
      <c r="B78" t="s">
        <v>168</v>
      </c>
      <c r="C78" t="s">
        <v>170</v>
      </c>
      <c r="D78" t="s">
        <v>27</v>
      </c>
      <c r="E78" t="s">
        <v>171</v>
      </c>
      <c r="F78" t="s">
        <v>12</v>
      </c>
      <c r="G78">
        <v>179</v>
      </c>
      <c r="H78">
        <v>5858.72</v>
      </c>
      <c r="I78">
        <v>5138</v>
      </c>
      <c r="J78">
        <f>VLOOKUP(D78,运费!B:C,2,0)</f>
        <v>104.5</v>
      </c>
      <c r="K78" s="8">
        <f t="shared" si="1"/>
        <v>612236.24</v>
      </c>
      <c r="L78" s="8" cm="1">
        <f t="array" ref="L78">(_xlfn.IFS(I78&gt;=4300,570/5500*I78,I78&gt;=3800,0.0806*I78,I78&gt;=3300,0.0706*I78,I78&gt;=2500,0.0676*I78,TRUE,0.02*I78)+10)*H78</f>
        <v>3178259.7300363639</v>
      </c>
    </row>
    <row r="79" spans="1:12" x14ac:dyDescent="0.15">
      <c r="A79">
        <v>3</v>
      </c>
      <c r="B79" t="s">
        <v>168</v>
      </c>
      <c r="C79" t="s">
        <v>172</v>
      </c>
      <c r="D79" t="s">
        <v>30</v>
      </c>
      <c r="E79" t="s">
        <v>173</v>
      </c>
      <c r="F79" t="s">
        <v>12</v>
      </c>
      <c r="G79">
        <v>46</v>
      </c>
      <c r="H79">
        <v>1437.8</v>
      </c>
      <c r="J79">
        <f>VLOOKUP(D79,运费!B:C,2,0)</f>
        <v>78</v>
      </c>
      <c r="K79" s="8">
        <f t="shared" si="1"/>
        <v>112148.4</v>
      </c>
      <c r="L79" s="8" cm="1">
        <f t="array" ref="L79">(_xlfn.IFS(I79&gt;=4300,570/5500*I79,I79&gt;=3800,0.0806*I79,I79&gt;=3300,0.0706*I79,I79&gt;=2500,0.0676*I79,TRUE,0.02*I79)+10)*H79</f>
        <v>14378</v>
      </c>
    </row>
    <row r="80" spans="1:12" x14ac:dyDescent="0.15">
      <c r="A80">
        <v>4</v>
      </c>
      <c r="B80" t="s">
        <v>168</v>
      </c>
      <c r="C80" t="s">
        <v>174</v>
      </c>
      <c r="D80" t="s">
        <v>33</v>
      </c>
      <c r="E80" t="s">
        <v>175</v>
      </c>
      <c r="F80" t="s">
        <v>12</v>
      </c>
      <c r="G80">
        <v>258</v>
      </c>
      <c r="H80">
        <v>8264.73</v>
      </c>
      <c r="I80">
        <v>3956</v>
      </c>
      <c r="J80">
        <f>VLOOKUP(D80,运费!B:C,2,0)</f>
        <v>58</v>
      </c>
      <c r="K80" s="8">
        <f t="shared" si="1"/>
        <v>479354.33999999997</v>
      </c>
      <c r="L80" s="8" cm="1">
        <f t="array" ref="L80">(_xlfn.IFS(I80&gt;=4300,570/5500*I80,I80&gt;=3800,0.0806*I80,I80&gt;=3300,0.0706*I80,I80&gt;=2500,0.0676*I80,TRUE,0.02*I80)+10)*H80</f>
        <v>2717886.2135280003</v>
      </c>
    </row>
    <row r="81" spans="1:12" x14ac:dyDescent="0.15">
      <c r="A81">
        <v>5</v>
      </c>
      <c r="B81" t="s">
        <v>168</v>
      </c>
      <c r="C81" t="s">
        <v>143</v>
      </c>
      <c r="D81" t="s">
        <v>43</v>
      </c>
      <c r="E81" t="s">
        <v>176</v>
      </c>
      <c r="F81" t="s">
        <v>45</v>
      </c>
      <c r="G81">
        <v>16</v>
      </c>
      <c r="H81">
        <v>508.56</v>
      </c>
      <c r="I81">
        <v>4368</v>
      </c>
      <c r="J81">
        <f>VLOOKUP(D81,运费!B:C,2,0)</f>
        <v>117</v>
      </c>
      <c r="K81" s="8">
        <f t="shared" si="1"/>
        <v>59501.52</v>
      </c>
      <c r="L81" s="8" cm="1">
        <f t="array" ref="L81">(_xlfn.IFS(I81&gt;=4300,570/5500*I81,I81&gt;=3800,0.0806*I81,I81&gt;=3300,0.0706*I81,I81&gt;=2500,0.0676*I81,TRUE,0.02*I81)+10)*H81</f>
        <v>235302.39010909092</v>
      </c>
    </row>
    <row r="82" spans="1:12" x14ac:dyDescent="0.15">
      <c r="A82">
        <v>6</v>
      </c>
      <c r="B82" t="s">
        <v>168</v>
      </c>
      <c r="C82" t="s">
        <v>177</v>
      </c>
      <c r="D82" t="s">
        <v>43</v>
      </c>
      <c r="E82" t="s">
        <v>176</v>
      </c>
      <c r="F82" t="s">
        <v>45</v>
      </c>
      <c r="G82">
        <v>310</v>
      </c>
      <c r="H82">
        <v>9911.14</v>
      </c>
      <c r="I82">
        <v>4368</v>
      </c>
      <c r="J82">
        <f>VLOOKUP(D82,运费!B:C,2,0)</f>
        <v>117</v>
      </c>
      <c r="K82" s="8">
        <f t="shared" si="1"/>
        <v>1159603.3799999999</v>
      </c>
      <c r="L82" s="8" cm="1">
        <f t="array" ref="L82">(_xlfn.IFS(I82&gt;=4300,570/5500*I82,I82&gt;=3800,0.0806*I82,I82&gt;=3300,0.0706*I82,I82&gt;=2500,0.0676*I82,TRUE,0.02*I82)+10)*H82</f>
        <v>4585722.2957090903</v>
      </c>
    </row>
    <row r="83" spans="1:12" x14ac:dyDescent="0.15">
      <c r="A83">
        <v>7</v>
      </c>
      <c r="B83" t="s">
        <v>168</v>
      </c>
      <c r="C83" t="s">
        <v>178</v>
      </c>
      <c r="D83" t="s">
        <v>47</v>
      </c>
      <c r="E83" t="s">
        <v>179</v>
      </c>
      <c r="F83" t="s">
        <v>45</v>
      </c>
      <c r="G83">
        <v>10</v>
      </c>
      <c r="H83">
        <v>309.64</v>
      </c>
      <c r="I83">
        <v>3399</v>
      </c>
      <c r="J83">
        <f>VLOOKUP(D83,运费!B:C,2,0)</f>
        <v>81</v>
      </c>
      <c r="K83" s="8">
        <f t="shared" si="1"/>
        <v>25080.84</v>
      </c>
      <c r="L83" s="8" cm="1">
        <f t="array" ref="L83">(_xlfn.IFS(I83&gt;=4300,570/5500*I83,I83&gt;=3800,0.0806*I83,I83&gt;=3300,0.0706*I83,I83&gt;=2500,0.0676*I83,TRUE,0.02*I83)+10)*H83</f>
        <v>77400.525015999985</v>
      </c>
    </row>
    <row r="84" spans="1:12" x14ac:dyDescent="0.15">
      <c r="A84">
        <v>8</v>
      </c>
      <c r="B84" t="s">
        <v>168</v>
      </c>
      <c r="C84" t="s">
        <v>180</v>
      </c>
      <c r="D84" t="s">
        <v>147</v>
      </c>
      <c r="E84" t="s">
        <v>181</v>
      </c>
      <c r="F84" t="s">
        <v>45</v>
      </c>
      <c r="G84">
        <v>44</v>
      </c>
      <c r="H84">
        <v>1341.06</v>
      </c>
      <c r="I84">
        <v>2974</v>
      </c>
      <c r="J84">
        <f>VLOOKUP(D84,运费!B:C,2,0)</f>
        <v>70</v>
      </c>
      <c r="K84" s="8">
        <f t="shared" si="1"/>
        <v>93874.2</v>
      </c>
      <c r="L84" s="8" cm="1">
        <f t="array" ref="L84">(_xlfn.IFS(I84&gt;=4300,570/5500*I84,I84&gt;=3800,0.0806*I84,I84&gt;=3300,0.0706*I84,I84&gt;=2500,0.0676*I84,TRUE,0.02*I84)+10)*H84</f>
        <v>283020.52094399999</v>
      </c>
    </row>
    <row r="85" spans="1:12" x14ac:dyDescent="0.15">
      <c r="A85">
        <v>9</v>
      </c>
      <c r="B85" t="s">
        <v>168</v>
      </c>
      <c r="C85" t="s">
        <v>182</v>
      </c>
      <c r="D85" t="s">
        <v>50</v>
      </c>
      <c r="E85" t="s">
        <v>183</v>
      </c>
      <c r="F85" t="s">
        <v>45</v>
      </c>
      <c r="G85">
        <v>92</v>
      </c>
      <c r="H85">
        <v>2983.36</v>
      </c>
      <c r="I85">
        <v>4012</v>
      </c>
      <c r="J85">
        <f>VLOOKUP(D85,运费!B:C,2,0)</f>
        <v>79</v>
      </c>
      <c r="K85" s="8">
        <f t="shared" si="1"/>
        <v>235685.44</v>
      </c>
      <c r="L85" s="8" cm="1">
        <f t="array" ref="L85">(_xlfn.IFS(I85&gt;=4300,570/5500*I85,I85&gt;=3800,0.0806*I85,I85&gt;=3300,0.0706*I85,I85&gt;=2500,0.0676*I85,TRUE,0.02*I85)+10)*H85</f>
        <v>994554.36979200016</v>
      </c>
    </row>
    <row r="86" spans="1:12" x14ac:dyDescent="0.15">
      <c r="A86">
        <v>10</v>
      </c>
      <c r="B86" t="s">
        <v>168</v>
      </c>
      <c r="C86" t="s">
        <v>151</v>
      </c>
      <c r="D86" t="s">
        <v>56</v>
      </c>
      <c r="E86" t="s">
        <v>184</v>
      </c>
      <c r="F86" t="s">
        <v>12</v>
      </c>
      <c r="G86">
        <v>44</v>
      </c>
      <c r="H86">
        <v>1402.62</v>
      </c>
      <c r="I86">
        <v>3765</v>
      </c>
      <c r="J86">
        <f>VLOOKUP(D86,运费!B:C,2,0)</f>
        <v>67</v>
      </c>
      <c r="K86" s="8">
        <f t="shared" si="1"/>
        <v>93975.54</v>
      </c>
      <c r="L86" s="8" cm="1">
        <f t="array" ref="L86">(_xlfn.IFS(I86&gt;=4300,570/5500*I86,I86&gt;=3800,0.0806*I86,I86&gt;=3300,0.0706*I86,I86&gt;=2500,0.0676*I86,TRUE,0.02*I86)+10)*H86</f>
        <v>386855.21957999992</v>
      </c>
    </row>
    <row r="87" spans="1:12" x14ac:dyDescent="0.15">
      <c r="A87">
        <v>11</v>
      </c>
      <c r="B87" t="s">
        <v>168</v>
      </c>
      <c r="C87" t="s">
        <v>185</v>
      </c>
      <c r="D87" t="s">
        <v>66</v>
      </c>
      <c r="E87" t="s">
        <v>186</v>
      </c>
      <c r="F87" t="s">
        <v>12</v>
      </c>
      <c r="G87">
        <v>211</v>
      </c>
      <c r="H87">
        <v>6911.68</v>
      </c>
      <c r="I87">
        <v>4615</v>
      </c>
      <c r="J87">
        <f>VLOOKUP(D87,运费!B:C,2,0)</f>
        <v>101.5</v>
      </c>
      <c r="K87" s="8">
        <f t="shared" si="1"/>
        <v>701535.52</v>
      </c>
      <c r="L87" s="8" cm="1">
        <f t="array" ref="L87">(_xlfn.IFS(I87&gt;=4300,570/5500*I87,I87&gt;=3800,0.0806*I87,I87&gt;=3300,0.0706*I87,I87&gt;=2500,0.0676*I87,TRUE,0.02*I87)+10)*H87</f>
        <v>3374847.6770909093</v>
      </c>
    </row>
    <row r="88" spans="1:12" x14ac:dyDescent="0.15">
      <c r="A88">
        <v>12</v>
      </c>
      <c r="B88" t="s">
        <v>168</v>
      </c>
      <c r="C88" t="s">
        <v>187</v>
      </c>
      <c r="D88" t="s">
        <v>160</v>
      </c>
      <c r="E88" t="s">
        <v>188</v>
      </c>
      <c r="F88" t="s">
        <v>12</v>
      </c>
      <c r="G88">
        <v>716</v>
      </c>
      <c r="H88">
        <v>23063.5</v>
      </c>
      <c r="I88">
        <v>2927</v>
      </c>
      <c r="J88">
        <f>VLOOKUP(D88,运费!B:C,2,0)</f>
        <v>82</v>
      </c>
      <c r="K88" s="8">
        <f t="shared" si="1"/>
        <v>1891207</v>
      </c>
      <c r="L88" s="8" cm="1">
        <f t="array" ref="L88">(_xlfn.IFS(I88&gt;=4300,570/5500*I88,I88&gt;=3800,0.0806*I88,I88&gt;=3300,0.0706*I88,I88&gt;=2500,0.0676*I88,TRUE,0.02*I88)+10)*H88</f>
        <v>4794099.0401999997</v>
      </c>
    </row>
    <row r="89" spans="1:12" x14ac:dyDescent="0.15">
      <c r="A89">
        <v>13</v>
      </c>
      <c r="B89" t="s">
        <v>168</v>
      </c>
      <c r="C89" t="s">
        <v>162</v>
      </c>
      <c r="D89" t="s">
        <v>86</v>
      </c>
      <c r="E89" t="s">
        <v>189</v>
      </c>
      <c r="F89" t="s">
        <v>12</v>
      </c>
      <c r="G89">
        <v>120</v>
      </c>
      <c r="H89">
        <v>3596.48</v>
      </c>
      <c r="I89">
        <v>3074</v>
      </c>
      <c r="J89">
        <f>VLOOKUP(D89,运费!B:C,2,0)</f>
        <v>116.8</v>
      </c>
      <c r="K89" s="8">
        <f t="shared" si="1"/>
        <v>420068.864</v>
      </c>
      <c r="L89" s="8" cm="1">
        <f t="array" ref="L89">(_xlfn.IFS(I89&gt;=4300,570/5500*I89,I89&gt;=3800,0.0806*I89,I89&gt;=3300,0.0706*I89,I89&gt;=2500,0.0676*I89,TRUE,0.02*I89)+10)*H89</f>
        <v>783321.97555199987</v>
      </c>
    </row>
    <row r="90" spans="1:12" x14ac:dyDescent="0.15">
      <c r="A90">
        <v>14</v>
      </c>
      <c r="B90" t="s">
        <v>168</v>
      </c>
      <c r="C90" t="s">
        <v>164</v>
      </c>
      <c r="D90" t="s">
        <v>89</v>
      </c>
      <c r="E90" t="s">
        <v>190</v>
      </c>
      <c r="F90" t="s">
        <v>12</v>
      </c>
      <c r="G90">
        <v>366</v>
      </c>
      <c r="H90">
        <v>6866.68</v>
      </c>
      <c r="I90">
        <v>4971</v>
      </c>
      <c r="J90">
        <f>VLOOKUP(D90,运费!B:C,2,0)</f>
        <v>108.51</v>
      </c>
      <c r="K90" s="8">
        <f t="shared" si="1"/>
        <v>745103.44680000003</v>
      </c>
      <c r="L90" s="8" cm="1">
        <f t="array" ref="L90">(_xlfn.IFS(I90&gt;=4300,570/5500*I90,I90&gt;=3800,0.0806*I90,I90&gt;=3300,0.0706*I90,I90&gt;=2500,0.0676*I90,TRUE,0.02*I90)+10)*H90</f>
        <v>3606218.0326545453</v>
      </c>
    </row>
    <row r="91" spans="1:12" x14ac:dyDescent="0.15">
      <c r="A91">
        <v>15</v>
      </c>
      <c r="B91" t="s">
        <v>168</v>
      </c>
      <c r="C91" t="s">
        <v>191</v>
      </c>
      <c r="D91" t="s">
        <v>89</v>
      </c>
      <c r="E91" t="s">
        <v>190</v>
      </c>
      <c r="F91" t="s">
        <v>12</v>
      </c>
      <c r="G91">
        <v>539</v>
      </c>
      <c r="H91">
        <v>9986.26</v>
      </c>
      <c r="I91">
        <v>4971</v>
      </c>
      <c r="J91">
        <f>VLOOKUP(D91,运费!B:C,2,0)</f>
        <v>108.51</v>
      </c>
      <c r="K91" s="8">
        <f t="shared" si="1"/>
        <v>1083609.0726000001</v>
      </c>
      <c r="L91" s="8" cm="1">
        <f t="array" ref="L91">(_xlfn.IFS(I91&gt;=4300,570/5500*I91,I91&gt;=3800,0.0806*I91,I91&gt;=3300,0.0706*I91,I91&gt;=2500,0.0676*I91,TRUE,0.02*I91)+10)*H91</f>
        <v>5244547.7131272722</v>
      </c>
    </row>
    <row r="92" spans="1:12" x14ac:dyDescent="0.15">
      <c r="A92">
        <v>16</v>
      </c>
      <c r="B92" t="s">
        <v>168</v>
      </c>
      <c r="C92" t="s">
        <v>192</v>
      </c>
      <c r="D92" t="s">
        <v>96</v>
      </c>
      <c r="E92" t="s">
        <v>193</v>
      </c>
      <c r="F92" t="s">
        <v>12</v>
      </c>
      <c r="G92">
        <v>387</v>
      </c>
      <c r="H92">
        <v>12444.7</v>
      </c>
      <c r="I92">
        <v>4042</v>
      </c>
      <c r="J92">
        <f>VLOOKUP(D92,运费!B:C,2,0)</f>
        <v>60.5</v>
      </c>
      <c r="K92" s="8">
        <f t="shared" si="1"/>
        <v>752904.35000000009</v>
      </c>
      <c r="L92" s="8" cm="1">
        <f t="array" ref="L92">(_xlfn.IFS(I92&gt;=4300,570/5500*I92,I92&gt;=3800,0.0806*I92,I92&gt;=3300,0.0706*I92,I92&gt;=2500,0.0676*I92,TRUE,0.02*I92)+10)*H92</f>
        <v>4178746.0784400008</v>
      </c>
    </row>
    <row r="93" spans="1:12" x14ac:dyDescent="0.15">
      <c r="A93">
        <v>1</v>
      </c>
      <c r="B93" t="s">
        <v>194</v>
      </c>
      <c r="C93" t="s">
        <v>195</v>
      </c>
      <c r="D93" t="s">
        <v>10</v>
      </c>
      <c r="E93" t="s">
        <v>196</v>
      </c>
      <c r="F93" t="s">
        <v>12</v>
      </c>
      <c r="G93">
        <v>1180</v>
      </c>
      <c r="H93">
        <v>21812.5</v>
      </c>
      <c r="I93">
        <v>3346</v>
      </c>
      <c r="J93">
        <f>VLOOKUP(D93,运费!B:C,2,0)</f>
        <v>147.1</v>
      </c>
      <c r="K93" s="8">
        <f t="shared" si="1"/>
        <v>3208618.75</v>
      </c>
      <c r="L93" s="8" cm="1">
        <f t="array" ref="L93">(_xlfn.IFS(I93&gt;=4300,570/5500*I93,I93&gt;=3800,0.0806*I93,I93&gt;=3300,0.0706*I93,I93&gt;=2500,0.0676*I93,TRUE,0.02*I93)+10)*H93</f>
        <v>5370839.5249999994</v>
      </c>
    </row>
    <row r="94" spans="1:12" x14ac:dyDescent="0.15">
      <c r="A94">
        <v>2</v>
      </c>
      <c r="B94" t="s">
        <v>194</v>
      </c>
      <c r="C94" t="s">
        <v>172</v>
      </c>
      <c r="D94" t="s">
        <v>30</v>
      </c>
      <c r="E94" t="s">
        <v>197</v>
      </c>
      <c r="F94" t="s">
        <v>12</v>
      </c>
      <c r="G94">
        <v>10</v>
      </c>
      <c r="H94">
        <v>317.04000000000002</v>
      </c>
      <c r="I94">
        <v>4233</v>
      </c>
      <c r="J94">
        <f>VLOOKUP(D94,运费!B:C,2,0)</f>
        <v>78</v>
      </c>
      <c r="K94" s="8">
        <f t="shared" si="1"/>
        <v>24729.120000000003</v>
      </c>
      <c r="L94" s="8" cm="1">
        <f t="array" ref="L94">(_xlfn.IFS(I94&gt;=4300,570/5500*I94,I94&gt;=3800,0.0806*I94,I94&gt;=3300,0.0706*I94,I94&gt;=2500,0.0676*I94,TRUE,0.02*I94)+10)*H94</f>
        <v>111338.04379200001</v>
      </c>
    </row>
    <row r="95" spans="1:12" x14ac:dyDescent="0.15">
      <c r="A95">
        <v>3</v>
      </c>
      <c r="B95" t="s">
        <v>194</v>
      </c>
      <c r="C95" t="s">
        <v>198</v>
      </c>
      <c r="D95" t="s">
        <v>33</v>
      </c>
      <c r="E95" t="s">
        <v>199</v>
      </c>
      <c r="F95" t="s">
        <v>12</v>
      </c>
      <c r="G95">
        <v>217</v>
      </c>
      <c r="H95">
        <v>6953.18</v>
      </c>
      <c r="I95">
        <v>2858</v>
      </c>
      <c r="J95">
        <f>VLOOKUP(D95,运费!B:C,2,0)</f>
        <v>58</v>
      </c>
      <c r="K95" s="8">
        <f t="shared" si="1"/>
        <v>403284.44</v>
      </c>
      <c r="L95" s="8" cm="1">
        <f t="array" ref="L95">(_xlfn.IFS(I95&gt;=4300,570/5500*I95,I95&gt;=3800,0.0806*I95,I95&gt;=3300,0.0706*I95,I95&gt;=2500,0.0676*I95,TRUE,0.02*I95)+10)*H95</f>
        <v>1412891.7385440001</v>
      </c>
    </row>
    <row r="96" spans="1:12" x14ac:dyDescent="0.15">
      <c r="A96">
        <v>4</v>
      </c>
      <c r="B96" t="s">
        <v>194</v>
      </c>
      <c r="C96" t="s">
        <v>200</v>
      </c>
      <c r="D96" t="s">
        <v>43</v>
      </c>
      <c r="E96" t="s">
        <v>201</v>
      </c>
      <c r="F96" t="s">
        <v>45</v>
      </c>
      <c r="G96">
        <v>404</v>
      </c>
      <c r="H96">
        <v>12867.18</v>
      </c>
      <c r="I96">
        <v>4058</v>
      </c>
      <c r="J96">
        <f>VLOOKUP(D96,运费!B:C,2,0)</f>
        <v>117</v>
      </c>
      <c r="K96" s="8">
        <f t="shared" si="1"/>
        <v>1505460.06</v>
      </c>
      <c r="L96" s="8" cm="1">
        <f t="array" ref="L96">(_xlfn.IFS(I96&gt;=4300,570/5500*I96,I96&gt;=3800,0.0806*I96,I96&gt;=3300,0.0706*I96,I96&gt;=2500,0.0676*I96,TRUE,0.02*I96)+10)*H96</f>
        <v>4337202.1250640005</v>
      </c>
    </row>
    <row r="97" spans="1:12" x14ac:dyDescent="0.15">
      <c r="A97">
        <v>5</v>
      </c>
      <c r="B97" t="s">
        <v>194</v>
      </c>
      <c r="C97" t="s">
        <v>202</v>
      </c>
      <c r="D97" t="s">
        <v>47</v>
      </c>
      <c r="E97" t="s">
        <v>203</v>
      </c>
      <c r="F97" t="s">
        <v>45</v>
      </c>
      <c r="G97">
        <v>32</v>
      </c>
      <c r="H97">
        <v>976.42</v>
      </c>
      <c r="I97">
        <v>2774</v>
      </c>
      <c r="J97">
        <f>VLOOKUP(D97,运费!B:C,2,0)</f>
        <v>81</v>
      </c>
      <c r="K97" s="8">
        <f t="shared" si="1"/>
        <v>79090.01999999999</v>
      </c>
      <c r="L97" s="8" cm="1">
        <f t="array" ref="L97">(_xlfn.IFS(I97&gt;=4300,570/5500*I97,I97&gt;=3800,0.0806*I97,I97&gt;=3300,0.0706*I97,I97&gt;=2500,0.0676*I97,TRUE,0.02*I97)+10)*H97</f>
        <v>192864.82180799998</v>
      </c>
    </row>
    <row r="98" spans="1:12" x14ac:dyDescent="0.15">
      <c r="A98">
        <v>6</v>
      </c>
      <c r="B98" t="s">
        <v>194</v>
      </c>
      <c r="C98" t="s">
        <v>204</v>
      </c>
      <c r="D98" t="s">
        <v>147</v>
      </c>
      <c r="E98" t="s">
        <v>205</v>
      </c>
      <c r="F98" t="s">
        <v>45</v>
      </c>
      <c r="G98">
        <v>64</v>
      </c>
      <c r="H98">
        <v>1980.46</v>
      </c>
      <c r="I98">
        <v>3224</v>
      </c>
      <c r="J98">
        <f>VLOOKUP(D98,运费!B:C,2,0)</f>
        <v>70</v>
      </c>
      <c r="K98" s="8">
        <f t="shared" si="1"/>
        <v>138632.20000000001</v>
      </c>
      <c r="L98" s="8" cm="1">
        <f t="array" ref="L98">(_xlfn.IFS(I98&gt;=4300,570/5500*I98,I98&gt;=3800,0.0806*I98,I98&gt;=3300,0.0706*I98,I98&gt;=2500,0.0676*I98,TRUE,0.02*I98)+10)*H98</f>
        <v>451430.80550399999</v>
      </c>
    </row>
    <row r="99" spans="1:12" x14ac:dyDescent="0.15">
      <c r="A99">
        <v>7</v>
      </c>
      <c r="B99" t="s">
        <v>194</v>
      </c>
      <c r="C99" t="s">
        <v>206</v>
      </c>
      <c r="D99" t="s">
        <v>207</v>
      </c>
      <c r="E99" t="s">
        <v>208</v>
      </c>
      <c r="F99" t="s">
        <v>45</v>
      </c>
      <c r="G99">
        <v>79</v>
      </c>
      <c r="H99">
        <v>2477.44</v>
      </c>
      <c r="I99">
        <v>3587</v>
      </c>
      <c r="J99">
        <f>VLOOKUP(D99,运费!B:C,2,0)</f>
        <v>113</v>
      </c>
      <c r="K99" s="8">
        <f t="shared" si="1"/>
        <v>279950.72000000003</v>
      </c>
      <c r="L99" s="8" cm="1">
        <f t="array" ref="L99">(_xlfn.IFS(I99&gt;=4300,570/5500*I99,I99&gt;=3800,0.0806*I99,I99&gt;=3300,0.0706*I99,I99&gt;=2500,0.0676*I99,TRUE,0.02*I99)+10)*H99</f>
        <v>652166.75596800004</v>
      </c>
    </row>
    <row r="100" spans="1:12" x14ac:dyDescent="0.15">
      <c r="A100">
        <v>8</v>
      </c>
      <c r="B100" t="s">
        <v>194</v>
      </c>
      <c r="C100" t="s">
        <v>209</v>
      </c>
      <c r="D100" t="s">
        <v>50</v>
      </c>
      <c r="E100" t="s">
        <v>210</v>
      </c>
      <c r="F100" t="s">
        <v>45</v>
      </c>
      <c r="G100">
        <v>50</v>
      </c>
      <c r="H100">
        <v>1613.24</v>
      </c>
      <c r="I100">
        <v>3456</v>
      </c>
      <c r="J100">
        <f>VLOOKUP(D100,运费!B:C,2,0)</f>
        <v>79</v>
      </c>
      <c r="K100" s="8">
        <f t="shared" si="1"/>
        <v>127445.96</v>
      </c>
      <c r="L100" s="8" cm="1">
        <f t="array" ref="L100">(_xlfn.IFS(I100&gt;=4300,570/5500*I100,I100&gt;=3800,0.0806*I100,I100&gt;=3300,0.0706*I100,I100&gt;=2500,0.0676*I100,TRUE,0.02*I100)+10)*H100</f>
        <v>409752.63526399998</v>
      </c>
    </row>
    <row r="101" spans="1:12" x14ac:dyDescent="0.15">
      <c r="A101">
        <v>9</v>
      </c>
      <c r="B101" t="s">
        <v>194</v>
      </c>
      <c r="C101" t="s">
        <v>211</v>
      </c>
      <c r="D101" t="s">
        <v>212</v>
      </c>
      <c r="E101" t="s">
        <v>213</v>
      </c>
      <c r="F101" t="s">
        <v>45</v>
      </c>
      <c r="G101">
        <v>47</v>
      </c>
      <c r="H101">
        <v>1477.56</v>
      </c>
      <c r="I101">
        <v>4047</v>
      </c>
      <c r="J101">
        <f>VLOOKUP(D101,运费!B:C,2,0)</f>
        <v>108</v>
      </c>
      <c r="K101" s="8">
        <f t="shared" si="1"/>
        <v>159576.47999999998</v>
      </c>
      <c r="L101" s="8" cm="1">
        <f t="array" ref="L101">(_xlfn.IFS(I101&gt;=4300,570/5500*I101,I101&gt;=3800,0.0806*I101,I101&gt;=3300,0.0706*I101,I101&gt;=2500,0.0676*I101,TRUE,0.02*I101)+10)*H101</f>
        <v>496738.23679199995</v>
      </c>
    </row>
    <row r="102" spans="1:12" x14ac:dyDescent="0.15">
      <c r="A102">
        <v>10</v>
      </c>
      <c r="B102" t="s">
        <v>194</v>
      </c>
      <c r="C102" t="s">
        <v>214</v>
      </c>
      <c r="D102" t="s">
        <v>160</v>
      </c>
      <c r="E102" t="s">
        <v>215</v>
      </c>
      <c r="F102" t="s">
        <v>12</v>
      </c>
      <c r="G102">
        <v>624</v>
      </c>
      <c r="H102">
        <v>20070.68</v>
      </c>
      <c r="I102">
        <v>3199</v>
      </c>
      <c r="J102">
        <f>VLOOKUP(D102,运费!B:C,2,0)</f>
        <v>82</v>
      </c>
      <c r="K102" s="8">
        <f t="shared" si="1"/>
        <v>1645795.76</v>
      </c>
      <c r="L102" s="8" cm="1">
        <f t="array" ref="L102">(_xlfn.IFS(I102&gt;=4300,570/5500*I102,I102&gt;=3800,0.0806*I102,I102&gt;=3300,0.0706*I102,I102&gt;=2500,0.0676*I102,TRUE,0.02*I102)+10)*H102</f>
        <v>4541039.5196319995</v>
      </c>
    </row>
    <row r="103" spans="1:12" x14ac:dyDescent="0.15">
      <c r="A103">
        <v>11</v>
      </c>
      <c r="B103" t="s">
        <v>194</v>
      </c>
      <c r="C103" t="s">
        <v>216</v>
      </c>
      <c r="D103" t="s">
        <v>86</v>
      </c>
      <c r="E103" t="s">
        <v>217</v>
      </c>
      <c r="F103" t="s">
        <v>12</v>
      </c>
      <c r="G103">
        <v>172</v>
      </c>
      <c r="H103">
        <v>3733.84</v>
      </c>
      <c r="I103">
        <v>3743</v>
      </c>
      <c r="J103">
        <f>VLOOKUP(D103,运费!B:C,2,0)</f>
        <v>116.8</v>
      </c>
      <c r="K103" s="8">
        <f t="shared" si="1"/>
        <v>436112.51199999999</v>
      </c>
      <c r="L103" s="8" cm="1">
        <f t="array" ref="L103">(_xlfn.IFS(I103&gt;=4300,570/5500*I103,I103&gt;=3800,0.0806*I103,I103&gt;=3300,0.0706*I103,I103&gt;=2500,0.0676*I103,TRUE,0.02*I103)+10)*H103</f>
        <v>1024027.2762719999</v>
      </c>
    </row>
    <row r="104" spans="1:12" x14ac:dyDescent="0.15">
      <c r="A104">
        <v>12</v>
      </c>
      <c r="B104" t="s">
        <v>194</v>
      </c>
      <c r="C104" t="s">
        <v>191</v>
      </c>
      <c r="D104" t="s">
        <v>89</v>
      </c>
      <c r="E104" t="s">
        <v>218</v>
      </c>
      <c r="F104" t="s">
        <v>12</v>
      </c>
      <c r="G104">
        <v>696</v>
      </c>
      <c r="H104">
        <v>12906.96</v>
      </c>
      <c r="I104">
        <v>4888</v>
      </c>
      <c r="J104">
        <f>VLOOKUP(D104,运费!B:C,2,0)</f>
        <v>108.51</v>
      </c>
      <c r="K104" s="8">
        <f t="shared" si="1"/>
        <v>1400534.2296</v>
      </c>
      <c r="L104" s="8" cm="1">
        <f t="array" ref="L104">(_xlfn.IFS(I104&gt;=4300,570/5500*I104,I104&gt;=3800,0.0806*I104,I104&gt;=3300,0.0706*I104,I104&gt;=2500,0.0676*I104,TRUE,0.02*I104)+10)*H104</f>
        <v>6667406.9951999988</v>
      </c>
    </row>
    <row r="105" spans="1:12" x14ac:dyDescent="0.15">
      <c r="A105">
        <v>13</v>
      </c>
      <c r="B105" t="s">
        <v>194</v>
      </c>
      <c r="C105" t="s">
        <v>219</v>
      </c>
      <c r="D105" t="s">
        <v>89</v>
      </c>
      <c r="E105" t="s">
        <v>218</v>
      </c>
      <c r="F105" t="s">
        <v>12</v>
      </c>
      <c r="G105">
        <v>524</v>
      </c>
      <c r="H105">
        <v>9564.7800000000007</v>
      </c>
      <c r="I105">
        <v>4888</v>
      </c>
      <c r="J105">
        <f>VLOOKUP(D105,运费!B:C,2,0)</f>
        <v>108.51</v>
      </c>
      <c r="K105" s="8">
        <f t="shared" si="1"/>
        <v>1037874.2778000002</v>
      </c>
      <c r="L105" s="8" cm="1">
        <f t="array" ref="L105">(_xlfn.IFS(I105&gt;=4300,570/5500*I105,I105&gt;=3800,0.0806*I105,I105&gt;=3300,0.0706*I105,I105&gt;=2500,0.0676*I105,TRUE,0.02*I105)+10)*H105</f>
        <v>4940921.8808727274</v>
      </c>
    </row>
    <row r="106" spans="1:12" x14ac:dyDescent="0.15">
      <c r="A106">
        <v>14</v>
      </c>
      <c r="B106" t="s">
        <v>194</v>
      </c>
      <c r="C106" t="s">
        <v>220</v>
      </c>
      <c r="D106" t="s">
        <v>96</v>
      </c>
      <c r="E106" t="s">
        <v>221</v>
      </c>
      <c r="F106" t="s">
        <v>12</v>
      </c>
      <c r="G106">
        <v>357</v>
      </c>
      <c r="H106">
        <v>11429.36</v>
      </c>
      <c r="I106">
        <v>3770</v>
      </c>
      <c r="J106">
        <f>VLOOKUP(D106,运费!B:C,2,0)</f>
        <v>60.5</v>
      </c>
      <c r="K106" s="8">
        <f t="shared" si="1"/>
        <v>691476.28</v>
      </c>
      <c r="L106" s="8" cm="1">
        <f t="array" ref="L106">(_xlfn.IFS(I106&gt;=4300,570/5500*I106,I106&gt;=3800,0.0806*I106,I106&gt;=3300,0.0706*I106,I106&gt;=2500,0.0676*I106,TRUE,0.02*I106)+10)*H106</f>
        <v>3156354.9163199998</v>
      </c>
    </row>
    <row r="107" spans="1:12" x14ac:dyDescent="0.15">
      <c r="A107">
        <v>1</v>
      </c>
      <c r="B107" t="s">
        <v>222</v>
      </c>
      <c r="C107" t="s">
        <v>195</v>
      </c>
      <c r="D107" t="s">
        <v>10</v>
      </c>
      <c r="E107" t="s">
        <v>223</v>
      </c>
      <c r="F107" t="s">
        <v>12</v>
      </c>
      <c r="G107">
        <v>50</v>
      </c>
      <c r="H107">
        <v>921.28</v>
      </c>
      <c r="I107">
        <v>3303</v>
      </c>
      <c r="J107">
        <f>VLOOKUP(D107,运费!B:C,2,0)</f>
        <v>147.1</v>
      </c>
      <c r="K107" s="8">
        <f t="shared" si="1"/>
        <v>135520.288</v>
      </c>
      <c r="L107" s="8" cm="1">
        <f t="array" ref="L107">(_xlfn.IFS(I107&gt;=4300,570/5500*I107,I107&gt;=3800,0.0806*I107,I107&gt;=3300,0.0706*I107,I107&gt;=2500,0.0676*I107,TRUE,0.02*I107)+10)*H107</f>
        <v>224047.74150400001</v>
      </c>
    </row>
    <row r="108" spans="1:12" x14ac:dyDescent="0.15">
      <c r="A108">
        <v>2</v>
      </c>
      <c r="B108" t="s">
        <v>222</v>
      </c>
      <c r="C108" t="s">
        <v>224</v>
      </c>
      <c r="D108" t="s">
        <v>10</v>
      </c>
      <c r="E108" t="s">
        <v>223</v>
      </c>
      <c r="F108" t="s">
        <v>12</v>
      </c>
      <c r="G108">
        <v>1576</v>
      </c>
      <c r="H108">
        <v>29093.82</v>
      </c>
      <c r="I108">
        <v>3303</v>
      </c>
      <c r="J108">
        <f>VLOOKUP(D108,运费!B:C,2,0)</f>
        <v>147.1</v>
      </c>
      <c r="K108" s="8">
        <f t="shared" si="1"/>
        <v>4279700.9220000003</v>
      </c>
      <c r="L108" s="8" cm="1">
        <f t="array" ref="L108">(_xlfn.IFS(I108&gt;=4300,570/5500*I108,I108&gt;=3800,0.0806*I108,I108&gt;=3300,0.0706*I108,I108&gt;=2500,0.0676*I108,TRUE,0.02*I108)+10)*H108</f>
        <v>7075378.4546760004</v>
      </c>
    </row>
    <row r="109" spans="1:12" x14ac:dyDescent="0.15">
      <c r="A109">
        <v>3</v>
      </c>
      <c r="B109" t="s">
        <v>222</v>
      </c>
      <c r="C109" t="s">
        <v>225</v>
      </c>
      <c r="D109" t="s">
        <v>226</v>
      </c>
      <c r="E109" t="s">
        <v>227</v>
      </c>
      <c r="F109" t="s">
        <v>12</v>
      </c>
      <c r="G109">
        <v>96</v>
      </c>
      <c r="H109">
        <v>2973.16</v>
      </c>
      <c r="I109">
        <v>5578</v>
      </c>
      <c r="J109">
        <f>VLOOKUP(D109,运费!B:C,2,0)</f>
        <v>78</v>
      </c>
      <c r="K109" s="8">
        <f t="shared" si="1"/>
        <v>231906.47999999998</v>
      </c>
      <c r="L109" s="8" cm="1">
        <f t="array" ref="L109">(_xlfn.IFS(I109&gt;=4300,570/5500*I109,I109&gt;=3800,0.0806*I109,I109&gt;=3300,0.0706*I109,I109&gt;=2500,0.0676*I109,TRUE,0.02*I109)+10)*H109</f>
        <v>1748466.744290909</v>
      </c>
    </row>
    <row r="110" spans="1:12" x14ac:dyDescent="0.15">
      <c r="A110">
        <v>4</v>
      </c>
      <c r="B110" t="s">
        <v>222</v>
      </c>
      <c r="C110" t="s">
        <v>228</v>
      </c>
      <c r="D110" t="s">
        <v>33</v>
      </c>
      <c r="E110" t="s">
        <v>229</v>
      </c>
      <c r="F110" t="s">
        <v>12</v>
      </c>
      <c r="G110">
        <v>256</v>
      </c>
      <c r="H110">
        <v>8194.06</v>
      </c>
      <c r="I110">
        <v>3155</v>
      </c>
      <c r="J110">
        <f>VLOOKUP(D110,运费!B:C,2,0)</f>
        <v>58</v>
      </c>
      <c r="K110" s="8">
        <f t="shared" si="1"/>
        <v>475255.48</v>
      </c>
      <c r="L110" s="8" cm="1">
        <f t="array" ref="L110">(_xlfn.IFS(I110&gt;=4300,570/5500*I110,I110&gt;=3800,0.0806*I110,I110&gt;=3300,0.0706*I110,I110&gt;=2500,0.0676*I110,TRUE,0.02*I110)+10)*H110</f>
        <v>1829553.3286799998</v>
      </c>
    </row>
    <row r="111" spans="1:12" x14ac:dyDescent="0.15">
      <c r="A111">
        <v>5</v>
      </c>
      <c r="B111" t="s">
        <v>222</v>
      </c>
      <c r="C111" t="s">
        <v>230</v>
      </c>
      <c r="D111" t="s">
        <v>147</v>
      </c>
      <c r="E111" t="s">
        <v>231</v>
      </c>
      <c r="F111" t="s">
        <v>45</v>
      </c>
      <c r="G111">
        <v>63</v>
      </c>
      <c r="H111">
        <v>1964.32</v>
      </c>
      <c r="I111">
        <v>3458</v>
      </c>
      <c r="J111">
        <f>VLOOKUP(D111,运费!B:C,2,0)</f>
        <v>70</v>
      </c>
      <c r="K111" s="8">
        <f t="shared" si="1"/>
        <v>137502.39999999999</v>
      </c>
      <c r="L111" s="8" cm="1">
        <f t="array" ref="L111">(_xlfn.IFS(I111&gt;=4300,570/5500*I111,I111&gt;=3800,0.0806*I111,I111&gt;=3300,0.0706*I111,I111&gt;=2500,0.0676*I111,TRUE,0.02*I111)+10)*H111</f>
        <v>499202.07033599995</v>
      </c>
    </row>
    <row r="112" spans="1:12" x14ac:dyDescent="0.15">
      <c r="A112">
        <v>6</v>
      </c>
      <c r="B112" t="s">
        <v>222</v>
      </c>
      <c r="C112" t="s">
        <v>232</v>
      </c>
      <c r="D112" t="s">
        <v>207</v>
      </c>
      <c r="E112" t="s">
        <v>233</v>
      </c>
      <c r="F112" t="s">
        <v>45</v>
      </c>
      <c r="G112">
        <v>80</v>
      </c>
      <c r="H112">
        <v>2473.02</v>
      </c>
      <c r="I112">
        <v>4182</v>
      </c>
      <c r="J112">
        <f>VLOOKUP(D112,运费!B:C,2,0)</f>
        <v>113</v>
      </c>
      <c r="K112" s="8">
        <f t="shared" si="1"/>
        <v>279451.26</v>
      </c>
      <c r="L112" s="8" cm="1">
        <f t="array" ref="L112">(_xlfn.IFS(I112&gt;=4300,570/5500*I112,I112&gt;=3800,0.0806*I112,I112&gt;=3300,0.0706*I112,I112&gt;=2500,0.0676*I112,TRUE,0.02*I112)+10)*H112</f>
        <v>858309.07298400009</v>
      </c>
    </row>
    <row r="113" spans="1:12" x14ac:dyDescent="0.15">
      <c r="A113">
        <v>7</v>
      </c>
      <c r="B113" t="s">
        <v>222</v>
      </c>
      <c r="C113" t="s">
        <v>234</v>
      </c>
      <c r="D113" t="s">
        <v>212</v>
      </c>
      <c r="E113" t="s">
        <v>235</v>
      </c>
      <c r="F113" t="s">
        <v>45</v>
      </c>
      <c r="G113">
        <v>47</v>
      </c>
      <c r="H113">
        <v>1473.02</v>
      </c>
      <c r="I113">
        <v>4430</v>
      </c>
      <c r="J113">
        <f>VLOOKUP(D113,运费!B:C,2,0)</f>
        <v>108</v>
      </c>
      <c r="K113" s="8">
        <f t="shared" si="1"/>
        <v>159086.16</v>
      </c>
      <c r="L113" s="8" cm="1">
        <f t="array" ref="L113">(_xlfn.IFS(I113&gt;=4300,570/5500*I113,I113&gt;=3800,0.0806*I113,I113&gt;=3300,0.0706*I113,I113&gt;=2500,0.0676*I113,TRUE,0.02*I113)+10)*H113</f>
        <v>691007.07309090905</v>
      </c>
    </row>
    <row r="114" spans="1:12" x14ac:dyDescent="0.15">
      <c r="A114">
        <v>8</v>
      </c>
      <c r="B114" t="s">
        <v>222</v>
      </c>
      <c r="C114" t="s">
        <v>236</v>
      </c>
      <c r="D114" t="s">
        <v>119</v>
      </c>
      <c r="E114" t="s">
        <v>237</v>
      </c>
      <c r="F114" t="s">
        <v>12</v>
      </c>
      <c r="G114">
        <v>217</v>
      </c>
      <c r="H114">
        <v>7000.48</v>
      </c>
      <c r="I114">
        <v>5161</v>
      </c>
      <c r="J114">
        <f>VLOOKUP(D114,运费!B:C,2,0)</f>
        <v>105</v>
      </c>
      <c r="K114" s="8">
        <f t="shared" si="1"/>
        <v>735050.39999999991</v>
      </c>
      <c r="L114" s="8" cm="1">
        <f t="array" ref="L114">(_xlfn.IFS(I114&gt;=4300,570/5500*I114,I114&gt;=3800,0.0806*I114,I114&gt;=3300,0.0706*I114,I114&gt;=2500,0.0676*I114,TRUE,0.02*I114)+10)*H114</f>
        <v>3814332.4453818179</v>
      </c>
    </row>
    <row r="115" spans="1:12" x14ac:dyDescent="0.15">
      <c r="A115">
        <v>9</v>
      </c>
      <c r="B115" t="s">
        <v>222</v>
      </c>
      <c r="C115" t="s">
        <v>238</v>
      </c>
      <c r="D115" t="s">
        <v>69</v>
      </c>
      <c r="E115" t="s">
        <v>239</v>
      </c>
      <c r="F115" t="s">
        <v>12</v>
      </c>
      <c r="G115">
        <v>25</v>
      </c>
      <c r="H115">
        <v>794.42</v>
      </c>
      <c r="I115">
        <v>4515</v>
      </c>
      <c r="J115">
        <f>VLOOKUP(D115,运费!B:C,2,0)</f>
        <v>104.5</v>
      </c>
      <c r="K115" s="8">
        <f t="shared" si="1"/>
        <v>83016.89</v>
      </c>
      <c r="L115" s="8" cm="1">
        <f t="array" ref="L115">(_xlfn.IFS(I115&gt;=4300,570/5500*I115,I115&gt;=3800,0.0806*I115,I115&gt;=3300,0.0706*I115,I115&gt;=2500,0.0676*I115,TRUE,0.02*I115)+10)*H115</f>
        <v>379667.76199999999</v>
      </c>
    </row>
    <row r="116" spans="1:12" x14ac:dyDescent="0.15">
      <c r="A116">
        <v>10</v>
      </c>
      <c r="B116" t="s">
        <v>222</v>
      </c>
      <c r="C116" t="s">
        <v>240</v>
      </c>
      <c r="D116" t="s">
        <v>160</v>
      </c>
      <c r="E116" t="s">
        <v>241</v>
      </c>
      <c r="F116" t="s">
        <v>12</v>
      </c>
      <c r="G116">
        <v>921</v>
      </c>
      <c r="H116">
        <v>29658.560000000001</v>
      </c>
      <c r="I116">
        <v>3192</v>
      </c>
      <c r="J116">
        <f>VLOOKUP(D116,运费!B:C,2,0)</f>
        <v>82</v>
      </c>
      <c r="K116" s="8">
        <f t="shared" si="1"/>
        <v>2432001.92</v>
      </c>
      <c r="L116" s="8" cm="1">
        <f t="array" ref="L116">(_xlfn.IFS(I116&gt;=4300,570/5500*I116,I116&gt;=3800,0.0806*I116,I116&gt;=3300,0.0706*I116,I116&gt;=2500,0.0676*I116,TRUE,0.02*I116)+10)*H116</f>
        <v>6696285.9499519998</v>
      </c>
    </row>
    <row r="117" spans="1:12" x14ac:dyDescent="0.15">
      <c r="A117">
        <v>11</v>
      </c>
      <c r="B117" t="s">
        <v>222</v>
      </c>
      <c r="C117" t="s">
        <v>219</v>
      </c>
      <c r="D117" t="s">
        <v>89</v>
      </c>
      <c r="E117" t="s">
        <v>242</v>
      </c>
      <c r="F117" t="s">
        <v>12</v>
      </c>
      <c r="G117">
        <v>827</v>
      </c>
      <c r="H117">
        <v>15260.78</v>
      </c>
      <c r="I117">
        <v>5206</v>
      </c>
      <c r="J117">
        <f>VLOOKUP(D117,运费!B:C,2,0)</f>
        <v>108.51</v>
      </c>
      <c r="K117" s="8">
        <f t="shared" si="1"/>
        <v>1655947.2378000002</v>
      </c>
      <c r="L117" s="8" cm="1">
        <f t="array" ref="L117">(_xlfn.IFS(I117&gt;=4300,570/5500*I117,I117&gt;=3800,0.0806*I117,I117&gt;=3300,0.0706*I117,I117&gt;=2500,0.0676*I117,TRUE,0.02*I117)+10)*H117</f>
        <v>8386270.3068363639</v>
      </c>
    </row>
    <row r="118" spans="1:12" x14ac:dyDescent="0.15">
      <c r="A118">
        <v>12</v>
      </c>
      <c r="B118" t="s">
        <v>222</v>
      </c>
      <c r="C118" t="s">
        <v>243</v>
      </c>
      <c r="D118" t="s">
        <v>89</v>
      </c>
      <c r="E118" t="s">
        <v>242</v>
      </c>
      <c r="F118" t="s">
        <v>12</v>
      </c>
      <c r="G118">
        <v>547</v>
      </c>
      <c r="H118">
        <v>9942.9</v>
      </c>
      <c r="I118">
        <v>5206</v>
      </c>
      <c r="J118">
        <f>VLOOKUP(D118,运费!B:C,2,0)</f>
        <v>108.51</v>
      </c>
      <c r="K118" s="8">
        <f t="shared" si="1"/>
        <v>1078904.0789999999</v>
      </c>
      <c r="L118" s="8" cm="1">
        <f t="array" ref="L118">(_xlfn.IFS(I118&gt;=4300,570/5500*I118,I118&gt;=3800,0.0806*I118,I118&gt;=3300,0.0706*I118,I118&gt;=2500,0.0676*I118,TRUE,0.02*I118)+10)*H118</f>
        <v>5463930.8759999992</v>
      </c>
    </row>
    <row r="119" spans="1:12" x14ac:dyDescent="0.15">
      <c r="A119">
        <v>13</v>
      </c>
      <c r="B119" t="s">
        <v>222</v>
      </c>
      <c r="C119" t="s">
        <v>244</v>
      </c>
      <c r="D119" t="s">
        <v>96</v>
      </c>
      <c r="E119" t="s">
        <v>245</v>
      </c>
      <c r="F119" t="s">
        <v>12</v>
      </c>
      <c r="G119">
        <v>386</v>
      </c>
      <c r="H119">
        <v>12305.06</v>
      </c>
      <c r="I119">
        <v>3727</v>
      </c>
      <c r="J119">
        <f>VLOOKUP(D119,运费!B:C,2,0)</f>
        <v>60.5</v>
      </c>
      <c r="K119" s="8">
        <f t="shared" si="1"/>
        <v>744456.13</v>
      </c>
      <c r="L119" s="8" cm="1">
        <f t="array" ref="L119">(_xlfn.IFS(I119&gt;=4300,570/5500*I119,I119&gt;=3800,0.0806*I119,I119&gt;=3300,0.0706*I119,I119&gt;=2500,0.0676*I119,TRUE,0.02*I119)+10)*H119</f>
        <v>3360834.2785719996</v>
      </c>
    </row>
    <row r="120" spans="1:12" x14ac:dyDescent="0.15">
      <c r="A120">
        <v>1</v>
      </c>
      <c r="B120" t="s">
        <v>246</v>
      </c>
      <c r="C120" t="s">
        <v>247</v>
      </c>
      <c r="D120" t="s">
        <v>10</v>
      </c>
      <c r="E120" t="s">
        <v>248</v>
      </c>
      <c r="F120" t="s">
        <v>12</v>
      </c>
      <c r="G120">
        <v>1712</v>
      </c>
      <c r="H120">
        <v>32187.64</v>
      </c>
      <c r="I120">
        <v>3091</v>
      </c>
      <c r="J120">
        <f>VLOOKUP(D120,运费!B:C,2,0)</f>
        <v>147.1</v>
      </c>
      <c r="K120" s="8">
        <f t="shared" si="1"/>
        <v>4734801.8439999996</v>
      </c>
      <c r="L120" s="8" cm="1">
        <f t="array" ref="L120">(_xlfn.IFS(I120&gt;=4300,570/5500*I120,I120&gt;=3800,0.0806*I120,I120&gt;=3300,0.0706*I120,I120&gt;=2500,0.0676*I120,TRUE,0.02*I120)+10)*H120</f>
        <v>7047535.2782239998</v>
      </c>
    </row>
    <row r="121" spans="1:12" x14ac:dyDescent="0.15">
      <c r="A121">
        <v>2</v>
      </c>
      <c r="B121" t="s">
        <v>246</v>
      </c>
      <c r="C121" t="s">
        <v>225</v>
      </c>
      <c r="D121" t="s">
        <v>226</v>
      </c>
      <c r="E121" t="s">
        <v>249</v>
      </c>
      <c r="F121" t="s">
        <v>12</v>
      </c>
      <c r="G121">
        <v>4</v>
      </c>
      <c r="H121">
        <v>126.12</v>
      </c>
      <c r="I121">
        <v>5724</v>
      </c>
      <c r="J121">
        <f>VLOOKUP(D121,运费!B:C,2,0)</f>
        <v>78</v>
      </c>
      <c r="K121" s="8">
        <f t="shared" si="1"/>
        <v>9837.36</v>
      </c>
      <c r="L121" s="8" cm="1">
        <f t="array" ref="L121">(_xlfn.IFS(I121&gt;=4300,570/5500*I121,I121&gt;=3800,0.0806*I121,I121&gt;=3300,0.0706*I121,I121&gt;=2500,0.0676*I121,TRUE,0.02*I121)+10)*H121</f>
        <v>76077.41847272728</v>
      </c>
    </row>
    <row r="122" spans="1:12" x14ac:dyDescent="0.15">
      <c r="A122">
        <v>3</v>
      </c>
      <c r="B122" t="s">
        <v>246</v>
      </c>
      <c r="C122" t="s">
        <v>250</v>
      </c>
      <c r="D122" t="s">
        <v>226</v>
      </c>
      <c r="E122" t="s">
        <v>249</v>
      </c>
      <c r="F122" t="s">
        <v>12</v>
      </c>
      <c r="G122">
        <v>132</v>
      </c>
      <c r="H122">
        <v>4158.5600000000004</v>
      </c>
      <c r="I122">
        <v>5724</v>
      </c>
      <c r="J122">
        <f>VLOOKUP(D122,运费!B:C,2,0)</f>
        <v>78</v>
      </c>
      <c r="K122" s="8">
        <f t="shared" si="1"/>
        <v>324367.68000000005</v>
      </c>
      <c r="L122" s="8" cm="1">
        <f t="array" ref="L122">(_xlfn.IFS(I122&gt;=4300,570/5500*I122,I122&gt;=3800,0.0806*I122,I122&gt;=3300,0.0706*I122,I122&gt;=2500,0.0676*I122,TRUE,0.02*I122)+10)*H122</f>
        <v>2508503.8801454548</v>
      </c>
    </row>
    <row r="123" spans="1:12" x14ac:dyDescent="0.15">
      <c r="A123">
        <v>4</v>
      </c>
      <c r="B123" t="s">
        <v>246</v>
      </c>
      <c r="C123" t="s">
        <v>251</v>
      </c>
      <c r="D123" t="s">
        <v>27</v>
      </c>
      <c r="E123" t="s">
        <v>252</v>
      </c>
      <c r="F123" t="s">
        <v>12</v>
      </c>
      <c r="G123">
        <v>314</v>
      </c>
      <c r="H123">
        <v>10000.94</v>
      </c>
      <c r="I123">
        <v>4905</v>
      </c>
      <c r="J123">
        <f>VLOOKUP(D123,运费!B:C,2,0)</f>
        <v>104.5</v>
      </c>
      <c r="K123" s="8">
        <f t="shared" si="1"/>
        <v>1045098.2300000001</v>
      </c>
      <c r="L123" s="8" cm="1">
        <f t="array" ref="L123">(_xlfn.IFS(I123&gt;=4300,570/5500*I123,I123&gt;=3800,0.0806*I123,I123&gt;=3300,0.0706*I123,I123&gt;=2500,0.0676*I123,TRUE,0.02*I123)+10)*H123</f>
        <v>5183850.8725454537</v>
      </c>
    </row>
    <row r="124" spans="1:12" x14ac:dyDescent="0.15">
      <c r="A124">
        <v>5</v>
      </c>
      <c r="B124" t="s">
        <v>246</v>
      </c>
      <c r="C124" t="s">
        <v>253</v>
      </c>
      <c r="D124" t="s">
        <v>147</v>
      </c>
      <c r="E124" t="s">
        <v>254</v>
      </c>
      <c r="F124" t="s">
        <v>45</v>
      </c>
      <c r="G124">
        <v>63</v>
      </c>
      <c r="H124">
        <v>1990.62</v>
      </c>
      <c r="I124">
        <v>3477</v>
      </c>
      <c r="J124">
        <f>VLOOKUP(D124,运费!B:C,2,0)</f>
        <v>70</v>
      </c>
      <c r="K124" s="8">
        <f t="shared" si="1"/>
        <v>139343.4</v>
      </c>
      <c r="L124" s="8" cm="1">
        <f t="array" ref="L124">(_xlfn.IFS(I124&gt;=4300,570/5500*I124,I124&gt;=3800,0.0806*I124,I124&gt;=3300,0.0706*I124,I124&gt;=2500,0.0676*I124,TRUE,0.02*I124)+10)*H124</f>
        <v>508556.03324399993</v>
      </c>
    </row>
    <row r="125" spans="1:12" x14ac:dyDescent="0.15">
      <c r="A125">
        <v>6</v>
      </c>
      <c r="B125" t="s">
        <v>246</v>
      </c>
      <c r="C125" t="s">
        <v>255</v>
      </c>
      <c r="D125" t="s">
        <v>207</v>
      </c>
      <c r="E125" t="s">
        <v>256</v>
      </c>
      <c r="F125" t="s">
        <v>45</v>
      </c>
      <c r="G125">
        <v>7</v>
      </c>
      <c r="H125">
        <v>214.68</v>
      </c>
      <c r="I125">
        <v>3958</v>
      </c>
      <c r="J125">
        <f>VLOOKUP(D125,运费!B:C,2,0)</f>
        <v>113</v>
      </c>
      <c r="K125" s="8">
        <f t="shared" si="1"/>
        <v>24258.84</v>
      </c>
      <c r="L125" s="8" cm="1">
        <f t="array" ref="L125">(_xlfn.IFS(I125&gt;=4300,570/5500*I125,I125&gt;=3800,0.0806*I125,I125&gt;=3300,0.0706*I125,I125&gt;=2500,0.0676*I125,TRUE,0.02*I125)+10)*H125</f>
        <v>70632.897264000014</v>
      </c>
    </row>
    <row r="126" spans="1:12" x14ac:dyDescent="0.15">
      <c r="A126">
        <v>7</v>
      </c>
      <c r="B126" t="s">
        <v>246</v>
      </c>
      <c r="C126" t="s">
        <v>257</v>
      </c>
      <c r="D126" t="s">
        <v>56</v>
      </c>
      <c r="E126" t="s">
        <v>258</v>
      </c>
      <c r="F126" t="s">
        <v>12</v>
      </c>
      <c r="G126">
        <v>93</v>
      </c>
      <c r="H126">
        <v>2984.52</v>
      </c>
      <c r="I126">
        <v>4077</v>
      </c>
      <c r="J126">
        <f>VLOOKUP(D126,运费!B:C,2,0)</f>
        <v>67</v>
      </c>
      <c r="K126" s="8">
        <f t="shared" si="1"/>
        <v>199962.84</v>
      </c>
      <c r="L126" s="8" cm="1">
        <f t="array" ref="L126">(_xlfn.IFS(I126&gt;=4300,570/5500*I126,I126&gt;=3800,0.0806*I126,I126&gt;=3300,0.0706*I126,I126&gt;=2500,0.0676*I126,TRUE,0.02*I126)+10)*H126</f>
        <v>1010576.976024</v>
      </c>
    </row>
    <row r="127" spans="1:12" x14ac:dyDescent="0.15">
      <c r="A127">
        <v>8</v>
      </c>
      <c r="B127" t="s">
        <v>246</v>
      </c>
      <c r="C127" t="s">
        <v>259</v>
      </c>
      <c r="D127" t="s">
        <v>119</v>
      </c>
      <c r="E127" t="s">
        <v>260</v>
      </c>
      <c r="F127" t="s">
        <v>12</v>
      </c>
      <c r="G127">
        <v>100</v>
      </c>
      <c r="H127">
        <v>3331.46</v>
      </c>
      <c r="I127">
        <v>5153</v>
      </c>
      <c r="J127">
        <f>VLOOKUP(D127,运费!B:C,2,0)</f>
        <v>105</v>
      </c>
      <c r="K127" s="8">
        <f t="shared" si="1"/>
        <v>349803.3</v>
      </c>
      <c r="L127" s="8" cm="1">
        <f t="array" ref="L127">(_xlfn.IFS(I127&gt;=4300,570/5500*I127,I127&gt;=3800,0.0806*I127,I127&gt;=3300,0.0706*I127,I127&gt;=2500,0.0676*I127,TRUE,0.02*I127)+10)*H127</f>
        <v>1812441.4412</v>
      </c>
    </row>
    <row r="128" spans="1:12" x14ac:dyDescent="0.15">
      <c r="A128">
        <v>9</v>
      </c>
      <c r="B128" t="s">
        <v>246</v>
      </c>
      <c r="C128" t="s">
        <v>261</v>
      </c>
      <c r="D128" t="s">
        <v>69</v>
      </c>
      <c r="E128" t="s">
        <v>262</v>
      </c>
      <c r="F128" t="s">
        <v>12</v>
      </c>
      <c r="G128">
        <v>123</v>
      </c>
      <c r="H128">
        <v>3978.18</v>
      </c>
      <c r="I128">
        <v>4762</v>
      </c>
      <c r="J128">
        <f>VLOOKUP(D128,运费!B:C,2,0)</f>
        <v>104.5</v>
      </c>
      <c r="K128" s="8">
        <f t="shared" si="1"/>
        <v>415719.81</v>
      </c>
      <c r="L128" s="8" cm="1">
        <f t="array" ref="L128">(_xlfn.IFS(I128&gt;=4300,570/5500*I128,I128&gt;=3800,0.0806*I128,I128&gt;=3300,0.0706*I128,I128&gt;=2500,0.0676*I128,TRUE,0.02*I128)+10)*H128</f>
        <v>2003078.7274909089</v>
      </c>
    </row>
    <row r="129" spans="1:12" x14ac:dyDescent="0.15">
      <c r="A129">
        <v>10</v>
      </c>
      <c r="B129" t="s">
        <v>246</v>
      </c>
      <c r="C129" t="s">
        <v>263</v>
      </c>
      <c r="D129" t="s">
        <v>264</v>
      </c>
      <c r="E129" t="s">
        <v>265</v>
      </c>
      <c r="F129" t="s">
        <v>12</v>
      </c>
      <c r="G129">
        <v>53</v>
      </c>
      <c r="H129">
        <v>1680.84</v>
      </c>
      <c r="I129">
        <v>5401</v>
      </c>
      <c r="J129">
        <f>VLOOKUP(D129,运费!B:C,2,0)</f>
        <v>114.09</v>
      </c>
      <c r="K129" s="8">
        <f t="shared" si="1"/>
        <v>191767.0356</v>
      </c>
      <c r="L129" s="8" cm="1">
        <f t="array" ref="L129">(_xlfn.IFS(I129&gt;=4300,570/5500*I129,I129&gt;=3800,0.0806*I129,I129&gt;=3300,0.0706*I129,I129&gt;=2500,0.0676*I129,TRUE,0.02*I129)+10)*H129</f>
        <v>957641.78159999999</v>
      </c>
    </row>
    <row r="130" spans="1:12" x14ac:dyDescent="0.15">
      <c r="A130">
        <v>11</v>
      </c>
      <c r="B130" t="s">
        <v>246</v>
      </c>
      <c r="C130" t="s">
        <v>266</v>
      </c>
      <c r="D130" t="s">
        <v>160</v>
      </c>
      <c r="E130" t="s">
        <v>267</v>
      </c>
      <c r="F130" t="s">
        <v>12</v>
      </c>
      <c r="G130">
        <v>562</v>
      </c>
      <c r="H130">
        <v>18230.740000000002</v>
      </c>
      <c r="I130">
        <v>2465</v>
      </c>
      <c r="J130">
        <f>VLOOKUP(D130,运费!B:C,2,0)</f>
        <v>82</v>
      </c>
      <c r="K130" s="8">
        <f t="shared" si="1"/>
        <v>1494920.6800000002</v>
      </c>
      <c r="L130" s="8" cm="1">
        <f t="array" ref="L130">(_xlfn.IFS(I130&gt;=4300,570/5500*I130,I130&gt;=3800,0.0806*I130,I130&gt;=3300,0.0706*I130,I130&gt;=2500,0.0676*I130,TRUE,0.02*I130)+10)*H130</f>
        <v>1081082.8820000002</v>
      </c>
    </row>
    <row r="131" spans="1:12" x14ac:dyDescent="0.15">
      <c r="A131">
        <v>12</v>
      </c>
      <c r="B131" t="s">
        <v>246</v>
      </c>
      <c r="C131" t="s">
        <v>243</v>
      </c>
      <c r="D131" t="s">
        <v>89</v>
      </c>
      <c r="E131" t="s">
        <v>268</v>
      </c>
      <c r="F131" t="s">
        <v>12</v>
      </c>
      <c r="G131">
        <v>815</v>
      </c>
      <c r="H131">
        <v>14921.02</v>
      </c>
      <c r="I131">
        <v>4725</v>
      </c>
      <c r="J131">
        <f>VLOOKUP(D131,运费!B:C,2,0)</f>
        <v>108.51</v>
      </c>
      <c r="K131" s="8">
        <f t="shared" ref="K131:K194" si="2">H131*J131</f>
        <v>1619079.8802</v>
      </c>
      <c r="L131" s="8" cm="1">
        <f t="array" ref="L131">(_xlfn.IFS(I131&gt;=4300,570/5500*I131,I131&gt;=3800,0.0806*I131,I131&gt;=3300,0.0706*I131,I131&gt;=2500,0.0676*I131,TRUE,0.02*I131)+10)*H131</f>
        <v>7455762.4027272733</v>
      </c>
    </row>
    <row r="132" spans="1:12" x14ac:dyDescent="0.15">
      <c r="A132">
        <v>13</v>
      </c>
      <c r="B132" t="s">
        <v>246</v>
      </c>
      <c r="C132" t="s">
        <v>269</v>
      </c>
      <c r="D132" t="s">
        <v>96</v>
      </c>
      <c r="E132" t="s">
        <v>270</v>
      </c>
      <c r="F132" t="s">
        <v>12</v>
      </c>
      <c r="G132">
        <v>972</v>
      </c>
      <c r="H132">
        <v>31255.56</v>
      </c>
      <c r="I132">
        <v>2158</v>
      </c>
      <c r="J132">
        <f>VLOOKUP(D132,运费!B:C,2,0)</f>
        <v>60.5</v>
      </c>
      <c r="K132" s="8">
        <f t="shared" si="2"/>
        <v>1890961.3800000001</v>
      </c>
      <c r="L132" s="8" cm="1">
        <f t="array" ref="L132">(_xlfn.IFS(I132&gt;=4300,570/5500*I132,I132&gt;=3800,0.0806*I132,I132&gt;=3300,0.0706*I132,I132&gt;=2500,0.0676*I132,TRUE,0.02*I132)+10)*H132</f>
        <v>1661545.5696000003</v>
      </c>
    </row>
    <row r="133" spans="1:12" x14ac:dyDescent="0.15">
      <c r="A133">
        <v>1</v>
      </c>
      <c r="B133" t="s">
        <v>271</v>
      </c>
      <c r="C133" t="s">
        <v>247</v>
      </c>
      <c r="D133" t="s">
        <v>10</v>
      </c>
      <c r="E133" t="s">
        <v>272</v>
      </c>
      <c r="F133" t="s">
        <v>12</v>
      </c>
      <c r="G133">
        <v>68</v>
      </c>
      <c r="H133">
        <v>1975.5</v>
      </c>
      <c r="I133">
        <v>3462</v>
      </c>
      <c r="J133">
        <f>VLOOKUP(D133,运费!B:C,2,0)</f>
        <v>147.1</v>
      </c>
      <c r="K133" s="8">
        <f t="shared" si="2"/>
        <v>290596.05</v>
      </c>
      <c r="L133" s="8" cm="1">
        <f t="array" ref="L133">(_xlfn.IFS(I133&gt;=4300,570/5500*I133,I133&gt;=3800,0.0806*I133,I133&gt;=3300,0.0706*I133,I133&gt;=2500,0.0676*I133,TRUE,0.02*I133)+10)*H133</f>
        <v>502601.17859999998</v>
      </c>
    </row>
    <row r="134" spans="1:12" x14ac:dyDescent="0.15">
      <c r="A134">
        <v>2</v>
      </c>
      <c r="B134" t="s">
        <v>271</v>
      </c>
      <c r="C134" t="s">
        <v>273</v>
      </c>
      <c r="D134" t="s">
        <v>10</v>
      </c>
      <c r="E134" t="s">
        <v>272</v>
      </c>
      <c r="F134" t="s">
        <v>12</v>
      </c>
      <c r="G134">
        <v>316</v>
      </c>
      <c r="H134">
        <v>9174.1</v>
      </c>
      <c r="I134">
        <v>3462</v>
      </c>
      <c r="J134">
        <f>VLOOKUP(D134,运费!B:C,2,0)</f>
        <v>147.1</v>
      </c>
      <c r="K134" s="8">
        <f t="shared" si="2"/>
        <v>1349510.11</v>
      </c>
      <c r="L134" s="8" cm="1">
        <f t="array" ref="L134">(_xlfn.IFS(I134&gt;=4300,570/5500*I134,I134&gt;=3800,0.0806*I134,I134&gt;=3300,0.0706*I134,I134&gt;=2500,0.0676*I134,TRUE,0.02*I134)+10)*H134</f>
        <v>2334048.83452</v>
      </c>
    </row>
    <row r="135" spans="1:12" x14ac:dyDescent="0.15">
      <c r="A135">
        <v>3</v>
      </c>
      <c r="B135" t="s">
        <v>271</v>
      </c>
      <c r="C135" t="s">
        <v>274</v>
      </c>
      <c r="D135" t="s">
        <v>275</v>
      </c>
      <c r="E135" t="s">
        <v>276</v>
      </c>
      <c r="F135" t="s">
        <v>12</v>
      </c>
      <c r="G135">
        <v>124</v>
      </c>
      <c r="H135">
        <v>3611.38</v>
      </c>
      <c r="I135">
        <v>4698</v>
      </c>
      <c r="J135">
        <f>VLOOKUP(D135,运费!B:C,2,0)</f>
        <v>143.91999999999999</v>
      </c>
      <c r="K135" s="8">
        <f t="shared" si="2"/>
        <v>519749.80959999998</v>
      </c>
      <c r="L135" s="8" cm="1">
        <f t="array" ref="L135">(_xlfn.IFS(I135&gt;=4300,570/5500*I135,I135&gt;=3800,0.0806*I135,I135&gt;=3300,0.0706*I135,I135&gt;=2500,0.0676*I135,TRUE,0.02*I135)+10)*H135</f>
        <v>1794435.626690909</v>
      </c>
    </row>
    <row r="136" spans="1:12" x14ac:dyDescent="0.15">
      <c r="A136">
        <v>4</v>
      </c>
      <c r="B136" t="s">
        <v>271</v>
      </c>
      <c r="C136" t="s">
        <v>277</v>
      </c>
      <c r="D136" t="s">
        <v>226</v>
      </c>
      <c r="E136" t="s">
        <v>278</v>
      </c>
      <c r="F136" t="s">
        <v>12</v>
      </c>
      <c r="G136">
        <v>134</v>
      </c>
      <c r="H136">
        <v>4156.74</v>
      </c>
      <c r="I136">
        <v>5681</v>
      </c>
      <c r="J136">
        <f>VLOOKUP(D136,运费!B:C,2,0)</f>
        <v>78</v>
      </c>
      <c r="K136" s="8">
        <f t="shared" si="2"/>
        <v>324225.71999999997</v>
      </c>
      <c r="L136" s="8" cm="1">
        <f t="array" ref="L136">(_xlfn.IFS(I136&gt;=4300,570/5500*I136,I136&gt;=3800,0.0806*I136,I136&gt;=3300,0.0706*I136,I136&gt;=2500,0.0676*I136,TRUE,0.02*I136)+10)*H136</f>
        <v>2488882.0846909089</v>
      </c>
    </row>
    <row r="137" spans="1:12" x14ac:dyDescent="0.15">
      <c r="A137">
        <v>5</v>
      </c>
      <c r="B137" t="s">
        <v>271</v>
      </c>
      <c r="C137" t="s">
        <v>251</v>
      </c>
      <c r="D137" t="s">
        <v>27</v>
      </c>
      <c r="E137" t="s">
        <v>279</v>
      </c>
      <c r="F137" t="s">
        <v>12</v>
      </c>
      <c r="G137">
        <v>1</v>
      </c>
      <c r="H137">
        <v>30.92</v>
      </c>
      <c r="J137">
        <f>VLOOKUP(D137,运费!B:C,2,0)</f>
        <v>104.5</v>
      </c>
      <c r="K137" s="8">
        <f t="shared" si="2"/>
        <v>3231.1400000000003</v>
      </c>
      <c r="L137" s="8" cm="1">
        <f t="array" ref="L137">(_xlfn.IFS(I137&gt;=4300,570/5500*I137,I137&gt;=3800,0.0806*I137,I137&gt;=3300,0.0706*I137,I137&gt;=2500,0.0676*I137,TRUE,0.02*I137)+10)*H137</f>
        <v>309.20000000000005</v>
      </c>
    </row>
    <row r="138" spans="1:12" x14ac:dyDescent="0.15">
      <c r="A138">
        <v>6</v>
      </c>
      <c r="B138" t="s">
        <v>271</v>
      </c>
      <c r="C138" t="s">
        <v>280</v>
      </c>
      <c r="D138" t="s">
        <v>33</v>
      </c>
      <c r="E138" t="s">
        <v>281</v>
      </c>
      <c r="F138" t="s">
        <v>12</v>
      </c>
      <c r="G138">
        <v>555</v>
      </c>
      <c r="H138">
        <v>17876.7</v>
      </c>
      <c r="I138">
        <v>4577</v>
      </c>
      <c r="J138">
        <f>VLOOKUP(D138,运费!B:C,2,0)</f>
        <v>58</v>
      </c>
      <c r="K138" s="8">
        <f t="shared" si="2"/>
        <v>1036848.6000000001</v>
      </c>
      <c r="L138" s="8" cm="1">
        <f t="array" ref="L138">(_xlfn.IFS(I138&gt;=4300,570/5500*I138,I138&gt;=3800,0.0806*I138,I138&gt;=3300,0.0706*I138,I138&gt;=2500,0.0676*I138,TRUE,0.02*I138)+10)*H138</f>
        <v>8658465.8841818199</v>
      </c>
    </row>
    <row r="139" spans="1:12" x14ac:dyDescent="0.15">
      <c r="A139">
        <v>7</v>
      </c>
      <c r="B139" t="s">
        <v>271</v>
      </c>
      <c r="C139" t="s">
        <v>282</v>
      </c>
      <c r="D139" t="s">
        <v>147</v>
      </c>
      <c r="E139" t="s">
        <v>283</v>
      </c>
      <c r="F139" t="s">
        <v>45</v>
      </c>
      <c r="G139">
        <v>106</v>
      </c>
      <c r="H139">
        <v>3355.42</v>
      </c>
      <c r="I139">
        <v>3484</v>
      </c>
      <c r="J139">
        <f>VLOOKUP(D139,运费!B:C,2,0)</f>
        <v>70</v>
      </c>
      <c r="K139" s="8">
        <f t="shared" si="2"/>
        <v>234879.4</v>
      </c>
      <c r="L139" s="8" cm="1">
        <f t="array" ref="L139">(_xlfn.IFS(I139&gt;=4300,570/5500*I139,I139&gt;=3800,0.0806*I139,I139&gt;=3300,0.0706*I139,I139&gt;=2500,0.0676*I139,TRUE,0.02*I139)+10)*H139</f>
        <v>858888.19956799992</v>
      </c>
    </row>
    <row r="140" spans="1:12" x14ac:dyDescent="0.15">
      <c r="A140">
        <v>8</v>
      </c>
      <c r="B140" t="s">
        <v>271</v>
      </c>
      <c r="C140" t="s">
        <v>284</v>
      </c>
      <c r="D140" t="s">
        <v>207</v>
      </c>
      <c r="E140" t="s">
        <v>285</v>
      </c>
      <c r="F140" t="s">
        <v>45</v>
      </c>
      <c r="G140">
        <v>21</v>
      </c>
      <c r="H140">
        <v>616.1</v>
      </c>
      <c r="I140">
        <v>3665</v>
      </c>
      <c r="J140">
        <f>VLOOKUP(D140,运费!B:C,2,0)</f>
        <v>113</v>
      </c>
      <c r="K140" s="8">
        <f t="shared" si="2"/>
        <v>69619.3</v>
      </c>
      <c r="L140" s="8" cm="1">
        <f t="array" ref="L140">(_xlfn.IFS(I140&gt;=4300,570/5500*I140,I140&gt;=3800,0.0806*I140,I140&gt;=3300,0.0706*I140,I140&gt;=2500,0.0676*I140,TRUE,0.02*I140)+10)*H140</f>
        <v>165576.25889999999</v>
      </c>
    </row>
    <row r="141" spans="1:12" x14ac:dyDescent="0.15">
      <c r="A141">
        <v>9</v>
      </c>
      <c r="B141" t="s">
        <v>271</v>
      </c>
      <c r="C141" t="s">
        <v>286</v>
      </c>
      <c r="D141" t="s">
        <v>56</v>
      </c>
      <c r="E141" t="s">
        <v>287</v>
      </c>
      <c r="F141" t="s">
        <v>12</v>
      </c>
      <c r="G141">
        <v>187</v>
      </c>
      <c r="H141">
        <v>5756.38</v>
      </c>
      <c r="I141">
        <v>3794</v>
      </c>
      <c r="J141">
        <f>VLOOKUP(D141,运费!B:C,2,0)</f>
        <v>67</v>
      </c>
      <c r="K141" s="8">
        <f t="shared" si="2"/>
        <v>385677.46</v>
      </c>
      <c r="L141" s="8" cm="1">
        <f t="array" ref="L141">(_xlfn.IFS(I141&gt;=4300,570/5500*I141,I141&gt;=3800,0.0806*I141,I141&gt;=3300,0.0706*I141,I141&gt;=2500,0.0676*I141,TRUE,0.02*I141)+10)*H141</f>
        <v>1599447.0238320001</v>
      </c>
    </row>
    <row r="142" spans="1:12" x14ac:dyDescent="0.15">
      <c r="A142">
        <v>10</v>
      </c>
      <c r="B142" t="s">
        <v>271</v>
      </c>
      <c r="C142" t="s">
        <v>288</v>
      </c>
      <c r="D142" t="s">
        <v>212</v>
      </c>
      <c r="E142" t="s">
        <v>289</v>
      </c>
      <c r="F142" t="s">
        <v>45</v>
      </c>
      <c r="G142">
        <v>33</v>
      </c>
      <c r="H142">
        <v>997.88</v>
      </c>
      <c r="I142">
        <v>4063</v>
      </c>
      <c r="J142">
        <f>VLOOKUP(D142,运费!B:C,2,0)</f>
        <v>108</v>
      </c>
      <c r="K142" s="8">
        <f t="shared" si="2"/>
        <v>107771.04</v>
      </c>
      <c r="L142" s="8" cm="1">
        <f t="array" ref="L142">(_xlfn.IFS(I142&gt;=4300,570/5500*I142,I142&gt;=3800,0.0806*I142,I142&gt;=3300,0.0706*I142,I142&gt;=2500,0.0676*I142,TRUE,0.02*I142)+10)*H142</f>
        <v>336762.34706399997</v>
      </c>
    </row>
    <row r="143" spans="1:12" x14ac:dyDescent="0.15">
      <c r="A143">
        <v>11</v>
      </c>
      <c r="B143" t="s">
        <v>271</v>
      </c>
      <c r="C143" t="s">
        <v>290</v>
      </c>
      <c r="D143" t="s">
        <v>291</v>
      </c>
      <c r="E143" t="s">
        <v>292</v>
      </c>
      <c r="F143" t="s">
        <v>12</v>
      </c>
      <c r="G143">
        <v>156</v>
      </c>
      <c r="H143">
        <v>4930.28</v>
      </c>
      <c r="I143">
        <v>5576</v>
      </c>
      <c r="J143">
        <f>VLOOKUP(D143,运费!B:C,2,0)</f>
        <v>81</v>
      </c>
      <c r="K143" s="8">
        <f t="shared" si="2"/>
        <v>399352.68</v>
      </c>
      <c r="L143" s="8" cm="1">
        <f t="array" ref="L143">(_xlfn.IFS(I143&gt;=4300,570/5500*I143,I143&gt;=3800,0.0806*I143,I143&gt;=3300,0.0706*I143,I143&gt;=2500,0.0676*I143,TRUE,0.02*I143)+10)*H143</f>
        <v>2898395.0781090907</v>
      </c>
    </row>
    <row r="144" spans="1:12" x14ac:dyDescent="0.15">
      <c r="A144">
        <v>12</v>
      </c>
      <c r="B144" t="s">
        <v>271</v>
      </c>
      <c r="C144" t="s">
        <v>293</v>
      </c>
      <c r="D144" t="s">
        <v>294</v>
      </c>
      <c r="E144" t="s">
        <v>295</v>
      </c>
      <c r="F144" t="s">
        <v>12</v>
      </c>
      <c r="G144">
        <v>440</v>
      </c>
      <c r="H144">
        <v>12765.34</v>
      </c>
      <c r="I144">
        <v>3970</v>
      </c>
      <c r="J144">
        <f>VLOOKUP(D144,运费!B:C,2,0)</f>
        <v>175.5</v>
      </c>
      <c r="K144" s="8">
        <f t="shared" si="2"/>
        <v>2240317.17</v>
      </c>
      <c r="L144" s="8" cm="1">
        <f t="array" ref="L144">(_xlfn.IFS(I144&gt;=4300,570/5500*I144,I144&gt;=3800,0.0806*I144,I144&gt;=3300,0.0706*I144,I144&gt;=2500,0.0676*I144,TRUE,0.02*I144)+10)*H144</f>
        <v>4212332.4238800006</v>
      </c>
    </row>
    <row r="145" spans="1:12" x14ac:dyDescent="0.15">
      <c r="A145">
        <v>13</v>
      </c>
      <c r="B145" t="s">
        <v>271</v>
      </c>
      <c r="C145" t="s">
        <v>296</v>
      </c>
      <c r="D145" t="s">
        <v>119</v>
      </c>
      <c r="E145" t="s">
        <v>297</v>
      </c>
      <c r="F145" t="s">
        <v>12</v>
      </c>
      <c r="G145">
        <v>40</v>
      </c>
      <c r="H145">
        <v>1264.1400000000001</v>
      </c>
      <c r="I145">
        <v>4930</v>
      </c>
      <c r="J145">
        <f>VLOOKUP(D145,运费!B:C,2,0)</f>
        <v>105</v>
      </c>
      <c r="K145" s="8">
        <f t="shared" si="2"/>
        <v>132734.70000000001</v>
      </c>
      <c r="L145" s="8" cm="1">
        <f t="array" ref="L145">(_xlfn.IFS(I145&gt;=4300,570/5500*I145,I145&gt;=3800,0.0806*I145,I145&gt;=3300,0.0706*I145,I145&gt;=2500,0.0676*I145,TRUE,0.02*I145)+10)*H145</f>
        <v>658525.00254545466</v>
      </c>
    </row>
    <row r="146" spans="1:12" x14ac:dyDescent="0.15">
      <c r="A146">
        <v>14</v>
      </c>
      <c r="B146" t="s">
        <v>271</v>
      </c>
      <c r="C146" t="s">
        <v>298</v>
      </c>
      <c r="D146" t="s">
        <v>264</v>
      </c>
      <c r="E146" t="s">
        <v>299</v>
      </c>
      <c r="F146" t="s">
        <v>12</v>
      </c>
      <c r="G146">
        <v>30</v>
      </c>
      <c r="H146">
        <v>978.74</v>
      </c>
      <c r="I146">
        <v>5225</v>
      </c>
      <c r="J146">
        <f>VLOOKUP(D146,运费!B:C,2,0)</f>
        <v>114.09</v>
      </c>
      <c r="K146" s="8">
        <f t="shared" si="2"/>
        <v>111664.44660000001</v>
      </c>
      <c r="L146" s="8" cm="1">
        <f t="array" ref="L146">(_xlfn.IFS(I146&gt;=4300,570/5500*I146,I146&gt;=3800,0.0806*I146,I146&gt;=3300,0.0706*I146,I146&gt;=2500,0.0676*I146,TRUE,0.02*I146)+10)*H146</f>
        <v>539775.11</v>
      </c>
    </row>
    <row r="147" spans="1:12" x14ac:dyDescent="0.15">
      <c r="A147">
        <v>15</v>
      </c>
      <c r="B147" t="s">
        <v>271</v>
      </c>
      <c r="C147" t="s">
        <v>300</v>
      </c>
      <c r="D147" t="s">
        <v>160</v>
      </c>
      <c r="E147" t="s">
        <v>301</v>
      </c>
      <c r="F147" t="s">
        <v>12</v>
      </c>
      <c r="G147">
        <v>829</v>
      </c>
      <c r="H147">
        <v>26783.82</v>
      </c>
      <c r="I147">
        <v>2849</v>
      </c>
      <c r="J147">
        <f>VLOOKUP(D147,运费!B:C,2,0)</f>
        <v>82</v>
      </c>
      <c r="K147" s="8">
        <f t="shared" si="2"/>
        <v>2196273.2399999998</v>
      </c>
      <c r="L147" s="8" cm="1">
        <f t="array" ref="L147">(_xlfn.IFS(I147&gt;=4300,570/5500*I147,I147&gt;=3800,0.0806*I147,I147&gt;=3300,0.0706*I147,I147&gt;=2500,0.0676*I147,TRUE,0.02*I147)+10)*H147</f>
        <v>5426198.3749679988</v>
      </c>
    </row>
    <row r="148" spans="1:12" x14ac:dyDescent="0.15">
      <c r="A148">
        <v>16</v>
      </c>
      <c r="B148" t="s">
        <v>271</v>
      </c>
      <c r="C148" t="s">
        <v>243</v>
      </c>
      <c r="D148" t="s">
        <v>89</v>
      </c>
      <c r="E148" t="s">
        <v>302</v>
      </c>
      <c r="F148" t="s">
        <v>12</v>
      </c>
      <c r="G148">
        <v>144</v>
      </c>
      <c r="H148">
        <v>4176.58</v>
      </c>
      <c r="I148">
        <v>4835</v>
      </c>
      <c r="J148">
        <f>VLOOKUP(D148,运费!B:C,2,0)</f>
        <v>108.51</v>
      </c>
      <c r="K148" s="8">
        <f t="shared" si="2"/>
        <v>453200.69579999999</v>
      </c>
      <c r="L148" s="8" cm="1">
        <f t="array" ref="L148">(_xlfn.IFS(I148&gt;=4300,570/5500*I148,I148&gt;=3800,0.0806*I148,I148&gt;=3300,0.0706*I148,I148&gt;=2500,0.0676*I148,TRUE,0.02*I148)+10)*H148</f>
        <v>2134574.100181818</v>
      </c>
    </row>
    <row r="149" spans="1:12" x14ac:dyDescent="0.15">
      <c r="A149">
        <v>17</v>
      </c>
      <c r="B149" t="s">
        <v>271</v>
      </c>
      <c r="C149" t="s">
        <v>303</v>
      </c>
      <c r="D149" t="s">
        <v>89</v>
      </c>
      <c r="E149" t="s">
        <v>302</v>
      </c>
      <c r="F149" t="s">
        <v>12</v>
      </c>
      <c r="G149">
        <v>371</v>
      </c>
      <c r="H149">
        <v>10704.1</v>
      </c>
      <c r="I149">
        <v>4835</v>
      </c>
      <c r="J149">
        <f>VLOOKUP(D149,运费!B:C,2,0)</f>
        <v>108.51</v>
      </c>
      <c r="K149" s="8">
        <f t="shared" si="2"/>
        <v>1161501.8910000001</v>
      </c>
      <c r="L149" s="8" cm="1">
        <f t="array" ref="L149">(_xlfn.IFS(I149&gt;=4300,570/5500*I149,I149&gt;=3800,0.0806*I149,I149&gt;=3300,0.0706*I149,I149&gt;=2500,0.0676*I149,TRUE,0.02*I149)+10)*H149</f>
        <v>5470670.8899999997</v>
      </c>
    </row>
    <row r="150" spans="1:12" x14ac:dyDescent="0.15">
      <c r="A150">
        <v>18</v>
      </c>
      <c r="B150" t="s">
        <v>271</v>
      </c>
      <c r="C150" t="s">
        <v>304</v>
      </c>
      <c r="D150" t="s">
        <v>89</v>
      </c>
      <c r="E150" t="s">
        <v>302</v>
      </c>
      <c r="F150" t="s">
        <v>12</v>
      </c>
      <c r="G150">
        <v>136</v>
      </c>
      <c r="H150">
        <v>3925</v>
      </c>
      <c r="I150">
        <v>4835</v>
      </c>
      <c r="J150">
        <f>VLOOKUP(D150,运费!B:C,2,0)</f>
        <v>108.51</v>
      </c>
      <c r="K150" s="8">
        <f t="shared" si="2"/>
        <v>425901.75</v>
      </c>
      <c r="L150" s="8" cm="1">
        <f t="array" ref="L150">(_xlfn.IFS(I150&gt;=4300,570/5500*I150,I150&gt;=3800,0.0806*I150,I150&gt;=3300,0.0706*I150,I150&gt;=2500,0.0676*I150,TRUE,0.02*I150)+10)*H150</f>
        <v>2005996.1363636362</v>
      </c>
    </row>
    <row r="151" spans="1:12" x14ac:dyDescent="0.15">
      <c r="A151">
        <v>19</v>
      </c>
      <c r="B151" t="s">
        <v>271</v>
      </c>
      <c r="C151" t="s">
        <v>269</v>
      </c>
      <c r="D151" t="s">
        <v>96</v>
      </c>
      <c r="E151" t="s">
        <v>305</v>
      </c>
      <c r="F151" t="s">
        <v>12</v>
      </c>
      <c r="G151">
        <v>1</v>
      </c>
      <c r="H151">
        <v>31.52</v>
      </c>
      <c r="I151">
        <v>4634</v>
      </c>
      <c r="J151">
        <f>VLOOKUP(D151,运费!B:C,2,0)</f>
        <v>60.5</v>
      </c>
      <c r="K151" s="8">
        <f t="shared" si="2"/>
        <v>1906.96</v>
      </c>
      <c r="L151" s="8" cm="1">
        <f t="array" ref="L151">(_xlfn.IFS(I151&gt;=4300,570/5500*I151,I151&gt;=3800,0.0806*I151,I151&gt;=3300,0.0706*I151,I151&gt;=2500,0.0676*I151,TRUE,0.02*I151)+10)*H151</f>
        <v>15452.708654545455</v>
      </c>
    </row>
    <row r="152" spans="1:12" x14ac:dyDescent="0.15">
      <c r="A152">
        <v>20</v>
      </c>
      <c r="B152" t="s">
        <v>271</v>
      </c>
      <c r="C152" t="s">
        <v>306</v>
      </c>
      <c r="D152" t="s">
        <v>96</v>
      </c>
      <c r="E152" t="s">
        <v>305</v>
      </c>
      <c r="F152" t="s">
        <v>12</v>
      </c>
      <c r="G152">
        <v>1247</v>
      </c>
      <c r="H152">
        <v>39744.82</v>
      </c>
      <c r="I152">
        <v>4634</v>
      </c>
      <c r="J152">
        <f>VLOOKUP(D152,运费!B:C,2,0)</f>
        <v>60.5</v>
      </c>
      <c r="K152" s="8">
        <f t="shared" si="2"/>
        <v>2404561.61</v>
      </c>
      <c r="L152" s="8" cm="1">
        <f t="array" ref="L152">(_xlfn.IFS(I152&gt;=4300,570/5500*I152,I152&gt;=3800,0.0806*I152,I152&gt;=3300,0.0706*I152,I152&gt;=2500,0.0676*I152,TRUE,0.02*I152)+10)*H152</f>
        <v>19484934.136654545</v>
      </c>
    </row>
    <row r="153" spans="1:12" x14ac:dyDescent="0.15">
      <c r="A153">
        <v>1</v>
      </c>
      <c r="B153" t="s">
        <v>307</v>
      </c>
      <c r="C153" t="s">
        <v>273</v>
      </c>
      <c r="D153" t="s">
        <v>10</v>
      </c>
      <c r="E153" t="s">
        <v>308</v>
      </c>
      <c r="F153" t="s">
        <v>12</v>
      </c>
      <c r="G153">
        <v>57</v>
      </c>
      <c r="H153">
        <v>1654.64</v>
      </c>
      <c r="I153">
        <v>2421</v>
      </c>
      <c r="J153">
        <f>VLOOKUP(D153,运费!B:C,2,0)</f>
        <v>147.1</v>
      </c>
      <c r="K153" s="8">
        <f t="shared" si="2"/>
        <v>243397.54399999999</v>
      </c>
      <c r="L153" s="8" cm="1">
        <f t="array" ref="L153">(_xlfn.IFS(I153&gt;=4300,570/5500*I153,I153&gt;=3800,0.0806*I153,I153&gt;=3300,0.0706*I153,I153&gt;=2500,0.0676*I153,TRUE,0.02*I153)+10)*H153</f>
        <v>96664.068800000008</v>
      </c>
    </row>
    <row r="154" spans="1:12" x14ac:dyDescent="0.15">
      <c r="A154">
        <v>2</v>
      </c>
      <c r="B154" t="s">
        <v>307</v>
      </c>
      <c r="C154" t="s">
        <v>309</v>
      </c>
      <c r="D154" t="s">
        <v>10</v>
      </c>
      <c r="E154" t="s">
        <v>308</v>
      </c>
      <c r="F154" t="s">
        <v>12</v>
      </c>
      <c r="G154">
        <v>453</v>
      </c>
      <c r="H154">
        <v>13146.04</v>
      </c>
      <c r="I154">
        <v>2421</v>
      </c>
      <c r="J154">
        <f>VLOOKUP(D154,运费!B:C,2,0)</f>
        <v>147.1</v>
      </c>
      <c r="K154" s="8">
        <f t="shared" si="2"/>
        <v>1933782.4839999999</v>
      </c>
      <c r="L154" s="8" cm="1">
        <f t="array" ref="L154">(_xlfn.IFS(I154&gt;=4300,570/5500*I154,I154&gt;=3800,0.0806*I154,I154&gt;=3300,0.0706*I154,I154&gt;=2500,0.0676*I154,TRUE,0.02*I154)+10)*H154</f>
        <v>767991.65680000011</v>
      </c>
    </row>
    <row r="155" spans="1:12" x14ac:dyDescent="0.15">
      <c r="A155">
        <v>3</v>
      </c>
      <c r="B155" t="s">
        <v>307</v>
      </c>
      <c r="C155" t="s">
        <v>274</v>
      </c>
      <c r="D155" t="s">
        <v>275</v>
      </c>
      <c r="E155" t="s">
        <v>310</v>
      </c>
      <c r="F155" t="s">
        <v>12</v>
      </c>
      <c r="G155">
        <v>126</v>
      </c>
      <c r="H155">
        <v>3637.18</v>
      </c>
      <c r="I155">
        <v>4381</v>
      </c>
      <c r="J155">
        <f>VLOOKUP(D155,运费!B:C,2,0)</f>
        <v>143.91999999999999</v>
      </c>
      <c r="K155" s="8">
        <f t="shared" si="2"/>
        <v>523462.94559999992</v>
      </c>
      <c r="L155" s="8" cm="1">
        <f t="array" ref="L155">(_xlfn.IFS(I155&gt;=4300,570/5500*I155,I155&gt;=3800,0.0806*I155,I155&gt;=3300,0.0706*I155,I155&gt;=2500,0.0676*I155,TRUE,0.02*I155)+10)*H155</f>
        <v>1687763.9419272728</v>
      </c>
    </row>
    <row r="156" spans="1:12" x14ac:dyDescent="0.15">
      <c r="A156">
        <v>4</v>
      </c>
      <c r="B156" t="s">
        <v>307</v>
      </c>
      <c r="C156" t="s">
        <v>311</v>
      </c>
      <c r="D156" t="s">
        <v>275</v>
      </c>
      <c r="E156" t="s">
        <v>310</v>
      </c>
      <c r="F156" t="s">
        <v>12</v>
      </c>
      <c r="G156">
        <v>118</v>
      </c>
      <c r="H156">
        <v>3403.34</v>
      </c>
      <c r="I156">
        <v>4381</v>
      </c>
      <c r="J156">
        <f>VLOOKUP(D156,运费!B:C,2,0)</f>
        <v>143.91999999999999</v>
      </c>
      <c r="K156" s="8">
        <f t="shared" si="2"/>
        <v>489808.69279999996</v>
      </c>
      <c r="L156" s="8" cm="1">
        <f t="array" ref="L156">(_xlfn.IFS(I156&gt;=4300,570/5500*I156,I156&gt;=3800,0.0806*I156,I156&gt;=3300,0.0706*I156,I156&gt;=2500,0.0676*I156,TRUE,0.02*I156)+10)*H156</f>
        <v>1579254.9541454548</v>
      </c>
    </row>
    <row r="157" spans="1:12" x14ac:dyDescent="0.15">
      <c r="A157">
        <v>5</v>
      </c>
      <c r="B157" t="s">
        <v>307</v>
      </c>
      <c r="C157" t="s">
        <v>312</v>
      </c>
      <c r="D157" t="s">
        <v>226</v>
      </c>
      <c r="E157" t="s">
        <v>313</v>
      </c>
      <c r="F157" t="s">
        <v>12</v>
      </c>
      <c r="G157">
        <v>192</v>
      </c>
      <c r="H157">
        <v>5963.14</v>
      </c>
      <c r="I157">
        <v>5540</v>
      </c>
      <c r="J157">
        <f>VLOOKUP(D157,运费!B:C,2,0)</f>
        <v>78</v>
      </c>
      <c r="K157" s="8">
        <f t="shared" si="2"/>
        <v>465124.92000000004</v>
      </c>
      <c r="L157" s="8" cm="1">
        <f t="array" ref="L157">(_xlfn.IFS(I157&gt;=4300,570/5500*I157,I157&gt;=3800,0.0806*I157,I157&gt;=3300,0.0706*I157,I157&gt;=2500,0.0676*I157,TRUE,0.02*I157)+10)*H157</f>
        <v>3483341.1258181818</v>
      </c>
    </row>
    <row r="158" spans="1:12" x14ac:dyDescent="0.15">
      <c r="A158">
        <v>6</v>
      </c>
      <c r="B158" t="s">
        <v>307</v>
      </c>
      <c r="C158" t="s">
        <v>314</v>
      </c>
      <c r="D158" t="s">
        <v>27</v>
      </c>
      <c r="E158" t="s">
        <v>315</v>
      </c>
      <c r="F158" t="s">
        <v>12</v>
      </c>
      <c r="G158">
        <v>158</v>
      </c>
      <c r="H158">
        <v>4937.76</v>
      </c>
      <c r="I158">
        <v>4598</v>
      </c>
      <c r="J158">
        <f>VLOOKUP(D158,运费!B:C,2,0)</f>
        <v>104.5</v>
      </c>
      <c r="K158" s="8">
        <f t="shared" si="2"/>
        <v>515995.92000000004</v>
      </c>
      <c r="L158" s="8" cm="1">
        <f t="array" ref="L158">(_xlfn.IFS(I158&gt;=4300,570/5500*I158,I158&gt;=3800,0.0806*I158,I158&gt;=3300,0.0706*I158,I158&gt;=2500,0.0676*I158,TRUE,0.02*I158)+10)*H158</f>
        <v>2402318.9952000002</v>
      </c>
    </row>
    <row r="159" spans="1:12" x14ac:dyDescent="0.15">
      <c r="A159">
        <v>7</v>
      </c>
      <c r="B159" t="s">
        <v>307</v>
      </c>
      <c r="C159" t="s">
        <v>316</v>
      </c>
      <c r="D159" t="s">
        <v>33</v>
      </c>
      <c r="E159" t="s">
        <v>317</v>
      </c>
      <c r="F159" t="s">
        <v>12</v>
      </c>
      <c r="G159">
        <v>877</v>
      </c>
      <c r="H159">
        <v>28110.11</v>
      </c>
      <c r="I159">
        <v>5656</v>
      </c>
      <c r="J159">
        <f>VLOOKUP(D159,运费!B:C,2,0)</f>
        <v>58</v>
      </c>
      <c r="K159" s="8">
        <f t="shared" si="2"/>
        <v>1630386.3800000001</v>
      </c>
      <c r="L159" s="8" cm="1">
        <f t="array" ref="L159">(_xlfn.IFS(I159&gt;=4300,570/5500*I159,I159&gt;=3800,0.0806*I159,I159&gt;=3300,0.0706*I159,I159&gt;=2500,0.0676*I159,TRUE,0.02*I159)+10)*H159</f>
        <v>16758327.614763636</v>
      </c>
    </row>
    <row r="160" spans="1:12" x14ac:dyDescent="0.15">
      <c r="A160">
        <v>8</v>
      </c>
      <c r="B160" t="s">
        <v>307</v>
      </c>
      <c r="C160" t="s">
        <v>318</v>
      </c>
      <c r="D160" t="s">
        <v>147</v>
      </c>
      <c r="E160" t="s">
        <v>319</v>
      </c>
      <c r="F160" t="s">
        <v>45</v>
      </c>
      <c r="G160">
        <v>64</v>
      </c>
      <c r="H160">
        <v>1968.72</v>
      </c>
      <c r="I160">
        <v>3194</v>
      </c>
      <c r="J160">
        <f>VLOOKUP(D160,运费!B:C,2,0)</f>
        <v>70</v>
      </c>
      <c r="K160" s="8">
        <f t="shared" si="2"/>
        <v>137810.4</v>
      </c>
      <c r="L160" s="8" cm="1">
        <f t="array" ref="L160">(_xlfn.IFS(I160&gt;=4300,570/5500*I160,I160&gt;=3800,0.0806*I160,I160&gt;=3300,0.0706*I160,I160&gt;=2500,0.0676*I160,TRUE,0.02*I160)+10)*H160</f>
        <v>444762.19756799995</v>
      </c>
    </row>
    <row r="161" spans="1:12" x14ac:dyDescent="0.15">
      <c r="A161">
        <v>9</v>
      </c>
      <c r="B161" t="s">
        <v>307</v>
      </c>
      <c r="C161" t="s">
        <v>320</v>
      </c>
      <c r="D161" t="s">
        <v>321</v>
      </c>
      <c r="E161" t="s">
        <v>322</v>
      </c>
      <c r="F161" t="s">
        <v>45</v>
      </c>
      <c r="G161">
        <v>172</v>
      </c>
      <c r="H161">
        <v>5449.14</v>
      </c>
      <c r="I161">
        <v>3808</v>
      </c>
      <c r="J161">
        <f>VLOOKUP(D161,运费!B:C,2,0)</f>
        <v>68</v>
      </c>
      <c r="K161" s="8">
        <f t="shared" si="2"/>
        <v>370541.52</v>
      </c>
      <c r="L161" s="8" cm="1">
        <f t="array" ref="L161">(_xlfn.IFS(I161&gt;=4300,570/5500*I161,I161&gt;=3800,0.0806*I161,I161&gt;=3300,0.0706*I161,I161&gt;=2500,0.0676*I161,TRUE,0.02*I161)+10)*H161</f>
        <v>1726967.604672</v>
      </c>
    </row>
    <row r="162" spans="1:12" x14ac:dyDescent="0.15">
      <c r="A162">
        <v>10</v>
      </c>
      <c r="B162" t="s">
        <v>307</v>
      </c>
      <c r="C162" t="s">
        <v>323</v>
      </c>
      <c r="D162" t="s">
        <v>321</v>
      </c>
      <c r="E162" t="s">
        <v>322</v>
      </c>
      <c r="F162" t="s">
        <v>45</v>
      </c>
      <c r="G162">
        <v>634</v>
      </c>
      <c r="H162">
        <v>19888.54</v>
      </c>
      <c r="I162">
        <v>3808</v>
      </c>
      <c r="J162">
        <f>VLOOKUP(D162,运费!B:C,2,0)</f>
        <v>68</v>
      </c>
      <c r="K162" s="8">
        <f t="shared" si="2"/>
        <v>1352420.72</v>
      </c>
      <c r="L162" s="8" cm="1">
        <f t="array" ref="L162">(_xlfn.IFS(I162&gt;=4300,570/5500*I162,I162&gt;=3800,0.0806*I162,I162&gt;=3300,0.0706*I162,I162&gt;=2500,0.0676*I162,TRUE,0.02*I162)+10)*H162</f>
        <v>6303171.5617920002</v>
      </c>
    </row>
    <row r="163" spans="1:12" x14ac:dyDescent="0.15">
      <c r="A163">
        <v>11</v>
      </c>
      <c r="B163" t="s">
        <v>307</v>
      </c>
      <c r="C163" t="s">
        <v>324</v>
      </c>
      <c r="D163" t="s">
        <v>207</v>
      </c>
      <c r="E163" t="s">
        <v>325</v>
      </c>
      <c r="F163" t="s">
        <v>45</v>
      </c>
      <c r="G163">
        <v>18</v>
      </c>
      <c r="H163">
        <v>542.78</v>
      </c>
      <c r="I163">
        <v>3386</v>
      </c>
      <c r="J163">
        <f>VLOOKUP(D163,运费!B:C,2,0)</f>
        <v>113</v>
      </c>
      <c r="K163" s="8">
        <f t="shared" si="2"/>
        <v>61334.14</v>
      </c>
      <c r="L163" s="8" cm="1">
        <f t="array" ref="L163">(_xlfn.IFS(I163&gt;=4300,570/5500*I163,I163&gt;=3800,0.0806*I163,I163&gt;=3300,0.0706*I163,I163&gt;=2500,0.0676*I163,TRUE,0.02*I163)+10)*H163</f>
        <v>135180.22744799999</v>
      </c>
    </row>
    <row r="164" spans="1:12" x14ac:dyDescent="0.15">
      <c r="A164">
        <v>12</v>
      </c>
      <c r="B164" t="s">
        <v>307</v>
      </c>
      <c r="C164" t="s">
        <v>293</v>
      </c>
      <c r="D164" t="s">
        <v>294</v>
      </c>
      <c r="E164" t="s">
        <v>326</v>
      </c>
      <c r="F164" t="s">
        <v>12</v>
      </c>
      <c r="G164">
        <v>465</v>
      </c>
      <c r="H164">
        <v>13489.8</v>
      </c>
      <c r="I164">
        <v>3644</v>
      </c>
      <c r="J164">
        <f>VLOOKUP(D164,运费!B:C,2,0)</f>
        <v>175.5</v>
      </c>
      <c r="K164" s="8">
        <f t="shared" si="2"/>
        <v>2367459.9</v>
      </c>
      <c r="L164" s="8" cm="1">
        <f t="array" ref="L164">(_xlfn.IFS(I164&gt;=4300,570/5500*I164,I164&gt;=3800,0.0806*I164,I164&gt;=3300,0.0706*I164,I164&gt;=2500,0.0676*I164,TRUE,0.02*I164)+10)*H164</f>
        <v>3605370.2827199996</v>
      </c>
    </row>
    <row r="165" spans="1:12" x14ac:dyDescent="0.15">
      <c r="A165">
        <v>13</v>
      </c>
      <c r="B165" t="s">
        <v>307</v>
      </c>
      <c r="C165" t="s">
        <v>327</v>
      </c>
      <c r="D165" t="s">
        <v>294</v>
      </c>
      <c r="E165" t="s">
        <v>326</v>
      </c>
      <c r="F165" t="s">
        <v>12</v>
      </c>
      <c r="G165">
        <v>329</v>
      </c>
      <c r="H165">
        <v>9537</v>
      </c>
      <c r="I165">
        <v>3644</v>
      </c>
      <c r="J165">
        <f>VLOOKUP(D165,运费!B:C,2,0)</f>
        <v>175.5</v>
      </c>
      <c r="K165" s="8">
        <f t="shared" si="2"/>
        <v>1673743.5</v>
      </c>
      <c r="L165" s="8" cm="1">
        <f t="array" ref="L165">(_xlfn.IFS(I165&gt;=4300,570/5500*I165,I165&gt;=3800,0.0806*I165,I165&gt;=3300,0.0706*I165,I165&gt;=2500,0.0676*I165,TRUE,0.02*I165)+10)*H165</f>
        <v>2548919.6568</v>
      </c>
    </row>
    <row r="166" spans="1:12" x14ac:dyDescent="0.15">
      <c r="A166">
        <v>14</v>
      </c>
      <c r="B166" t="s">
        <v>307</v>
      </c>
      <c r="C166" t="s">
        <v>328</v>
      </c>
      <c r="D166" t="s">
        <v>119</v>
      </c>
      <c r="E166" t="s">
        <v>329</v>
      </c>
      <c r="F166" t="s">
        <v>12</v>
      </c>
      <c r="G166">
        <v>287</v>
      </c>
      <c r="H166">
        <v>9226.86</v>
      </c>
      <c r="I166">
        <v>5296</v>
      </c>
      <c r="J166">
        <f>VLOOKUP(D166,运费!B:C,2,0)</f>
        <v>105</v>
      </c>
      <c r="K166" s="8">
        <f t="shared" si="2"/>
        <v>968820.3</v>
      </c>
      <c r="L166" s="8" cm="1">
        <f t="array" ref="L166">(_xlfn.IFS(I166&gt;=4300,570/5500*I166,I166&gt;=3800,0.0806*I166,I166&gt;=3300,0.0706*I166,I166&gt;=2500,0.0676*I166,TRUE,0.02*I166)+10)*H166</f>
        <v>5156506.2034909092</v>
      </c>
    </row>
    <row r="167" spans="1:12" x14ac:dyDescent="0.15">
      <c r="A167">
        <v>15</v>
      </c>
      <c r="B167" t="s">
        <v>307</v>
      </c>
      <c r="C167" t="s">
        <v>330</v>
      </c>
      <c r="D167" t="s">
        <v>264</v>
      </c>
      <c r="E167" t="s">
        <v>331</v>
      </c>
      <c r="F167" t="s">
        <v>12</v>
      </c>
      <c r="G167">
        <v>61</v>
      </c>
      <c r="H167">
        <v>1966.9</v>
      </c>
      <c r="I167">
        <v>3494</v>
      </c>
      <c r="J167">
        <f>VLOOKUP(D167,运费!B:C,2,0)</f>
        <v>114.09</v>
      </c>
      <c r="K167" s="8">
        <f t="shared" si="2"/>
        <v>224403.62100000001</v>
      </c>
      <c r="L167" s="8" cm="1">
        <f t="array" ref="L167">(_xlfn.IFS(I167&gt;=4300,570/5500*I167,I167&gt;=3800,0.0806*I167,I167&gt;=3300,0.0706*I167,I167&gt;=2500,0.0676*I167,TRUE,0.02*I167)+10)*H167</f>
        <v>504856.81115999992</v>
      </c>
    </row>
    <row r="168" spans="1:12" x14ac:dyDescent="0.15">
      <c r="A168">
        <v>16</v>
      </c>
      <c r="B168" t="s">
        <v>307</v>
      </c>
      <c r="C168" t="s">
        <v>332</v>
      </c>
      <c r="D168" t="s">
        <v>160</v>
      </c>
      <c r="E168" t="s">
        <v>333</v>
      </c>
      <c r="F168" t="s">
        <v>12</v>
      </c>
      <c r="G168">
        <v>766</v>
      </c>
      <c r="H168">
        <v>24827.94</v>
      </c>
      <c r="I168">
        <v>2889</v>
      </c>
      <c r="J168">
        <f>VLOOKUP(D168,运费!B:C,2,0)</f>
        <v>82</v>
      </c>
      <c r="K168" s="8">
        <f t="shared" si="2"/>
        <v>2035891.0799999998</v>
      </c>
      <c r="L168" s="8" cm="1">
        <f t="array" ref="L168">(_xlfn.IFS(I168&gt;=4300,570/5500*I168,I168&gt;=3800,0.0806*I168,I168&gt;=3300,0.0706*I168,I168&gt;=2500,0.0676*I168,TRUE,0.02*I168)+10)*H168</f>
        <v>5097086.7014159989</v>
      </c>
    </row>
    <row r="169" spans="1:12" x14ac:dyDescent="0.15">
      <c r="A169">
        <v>17</v>
      </c>
      <c r="B169" t="s">
        <v>307</v>
      </c>
      <c r="C169" t="s">
        <v>334</v>
      </c>
      <c r="D169" t="s">
        <v>89</v>
      </c>
      <c r="E169" t="s">
        <v>335</v>
      </c>
      <c r="F169" t="s">
        <v>12</v>
      </c>
      <c r="G169">
        <v>173</v>
      </c>
      <c r="H169">
        <v>5016.9399999999996</v>
      </c>
      <c r="I169">
        <v>4703</v>
      </c>
      <c r="J169">
        <f>VLOOKUP(D169,运费!B:C,2,0)</f>
        <v>108.51</v>
      </c>
      <c r="K169" s="8">
        <f t="shared" si="2"/>
        <v>544388.1594</v>
      </c>
      <c r="L169" s="8" cm="1">
        <f t="array" ref="L169">(_xlfn.IFS(I169&gt;=4300,570/5500*I169,I169&gt;=3800,0.0806*I169,I169&gt;=3300,0.0706*I169,I169&gt;=2500,0.0676*I169,TRUE,0.02*I169)+10)*H169</f>
        <v>2495435.0777090909</v>
      </c>
    </row>
    <row r="170" spans="1:12" x14ac:dyDescent="0.15">
      <c r="A170">
        <v>18</v>
      </c>
      <c r="B170" t="s">
        <v>307</v>
      </c>
      <c r="C170" t="s">
        <v>336</v>
      </c>
      <c r="D170" t="s">
        <v>96</v>
      </c>
      <c r="E170" t="s">
        <v>337</v>
      </c>
      <c r="F170" t="s">
        <v>12</v>
      </c>
      <c r="G170">
        <v>1019</v>
      </c>
      <c r="H170">
        <v>32244.77</v>
      </c>
      <c r="I170">
        <v>4562</v>
      </c>
      <c r="J170">
        <f>VLOOKUP(D170,运费!B:C,2,0)</f>
        <v>60.5</v>
      </c>
      <c r="K170" s="8">
        <f t="shared" si="2"/>
        <v>1950808.585</v>
      </c>
      <c r="L170" s="8" cm="1">
        <f t="array" ref="L170">(_xlfn.IFS(I170&gt;=4300,570/5500*I170,I170&gt;=3800,0.0806*I170,I170&gt;=3300,0.0706*I170,I170&gt;=2500,0.0676*I170,TRUE,0.02*I170)+10)*H170</f>
        <v>15567423.194872728</v>
      </c>
    </row>
    <row r="171" spans="1:12" x14ac:dyDescent="0.15">
      <c r="A171">
        <v>1</v>
      </c>
      <c r="B171" t="s">
        <v>338</v>
      </c>
      <c r="C171" t="s">
        <v>309</v>
      </c>
      <c r="D171" t="s">
        <v>10</v>
      </c>
      <c r="E171" t="s">
        <v>339</v>
      </c>
      <c r="F171" t="s">
        <v>12</v>
      </c>
      <c r="G171">
        <v>546</v>
      </c>
      <c r="H171">
        <v>15769.8</v>
      </c>
      <c r="I171">
        <v>2217</v>
      </c>
      <c r="J171">
        <f>VLOOKUP(D171,运费!B:C,2,0)</f>
        <v>147.1</v>
      </c>
      <c r="K171" s="8">
        <f t="shared" si="2"/>
        <v>2319737.5799999996</v>
      </c>
      <c r="L171" s="8" cm="1">
        <f t="array" ref="L171">(_xlfn.IFS(I171&gt;=4300,570/5500*I171,I171&gt;=3800,0.0806*I171,I171&gt;=3300,0.0706*I171,I171&gt;=2500,0.0676*I171,TRUE,0.02*I171)+10)*H171</f>
        <v>856930.93200000003</v>
      </c>
    </row>
    <row r="172" spans="1:12" x14ac:dyDescent="0.15">
      <c r="A172">
        <v>2</v>
      </c>
      <c r="B172" t="s">
        <v>338</v>
      </c>
      <c r="C172" t="s">
        <v>311</v>
      </c>
      <c r="D172" t="s">
        <v>275</v>
      </c>
      <c r="E172" t="s">
        <v>340</v>
      </c>
      <c r="F172" t="s">
        <v>12</v>
      </c>
      <c r="G172">
        <v>106</v>
      </c>
      <c r="H172">
        <v>3075.84</v>
      </c>
      <c r="I172">
        <v>4609</v>
      </c>
      <c r="J172">
        <f>VLOOKUP(D172,运费!B:C,2,0)</f>
        <v>143.91999999999999</v>
      </c>
      <c r="K172" s="8">
        <f t="shared" si="2"/>
        <v>442674.89279999997</v>
      </c>
      <c r="L172" s="8" cm="1">
        <f t="array" ref="L172">(_xlfn.IFS(I172&gt;=4300,570/5500*I172,I172&gt;=3800,0.0806*I172,I172&gt;=3300,0.0706*I172,I172&gt;=2500,0.0676*I172,TRUE,0.02*I172)+10)*H172</f>
        <v>1499964.1344000001</v>
      </c>
    </row>
    <row r="173" spans="1:12" x14ac:dyDescent="0.15">
      <c r="A173">
        <v>3</v>
      </c>
      <c r="B173" t="s">
        <v>338</v>
      </c>
      <c r="C173" t="s">
        <v>341</v>
      </c>
      <c r="D173" t="s">
        <v>226</v>
      </c>
      <c r="E173" t="s">
        <v>342</v>
      </c>
      <c r="F173" t="s">
        <v>12</v>
      </c>
      <c r="G173">
        <v>350</v>
      </c>
      <c r="H173">
        <v>10918.16</v>
      </c>
      <c r="I173">
        <v>5579</v>
      </c>
      <c r="J173">
        <f>VLOOKUP(D173,运费!B:C,2,0)</f>
        <v>78</v>
      </c>
      <c r="K173" s="8">
        <f t="shared" si="2"/>
        <v>851616.48</v>
      </c>
      <c r="L173" s="8" cm="1">
        <f t="array" ref="L173">(_xlfn.IFS(I173&gt;=4300,570/5500*I173,I173&gt;=3800,0.0806*I173,I173&gt;=3300,0.0706*I173,I173&gt;=2500,0.0676*I173,TRUE,0.02*I173)+10)*H173</f>
        <v>6421922.7536000004</v>
      </c>
    </row>
    <row r="174" spans="1:12" x14ac:dyDescent="0.15">
      <c r="A174">
        <v>4</v>
      </c>
      <c r="B174" t="s">
        <v>338</v>
      </c>
      <c r="C174" t="s">
        <v>343</v>
      </c>
      <c r="D174" t="s">
        <v>27</v>
      </c>
      <c r="E174" t="s">
        <v>344</v>
      </c>
      <c r="F174" t="s">
        <v>12</v>
      </c>
      <c r="G174">
        <v>35</v>
      </c>
      <c r="H174">
        <v>1082.94</v>
      </c>
      <c r="I174">
        <v>5093</v>
      </c>
      <c r="J174">
        <f>VLOOKUP(D174,运费!B:C,2,0)</f>
        <v>104.5</v>
      </c>
      <c r="K174" s="8">
        <f t="shared" si="2"/>
        <v>113167.23000000001</v>
      </c>
      <c r="L174" s="8" cm="1">
        <f t="array" ref="L174">(_xlfn.IFS(I174&gt;=4300,570/5500*I174,I174&gt;=3800,0.0806*I174,I174&gt;=3300,0.0706*I174,I174&gt;=2500,0.0676*I174,TRUE,0.02*I174)+10)*H174</f>
        <v>582426.79080000008</v>
      </c>
    </row>
    <row r="175" spans="1:12" x14ac:dyDescent="0.15">
      <c r="A175">
        <v>5</v>
      </c>
      <c r="B175" t="s">
        <v>338</v>
      </c>
      <c r="C175" t="s">
        <v>345</v>
      </c>
      <c r="D175" t="s">
        <v>147</v>
      </c>
      <c r="E175" t="s">
        <v>346</v>
      </c>
      <c r="F175" t="s">
        <v>45</v>
      </c>
      <c r="G175">
        <v>80</v>
      </c>
      <c r="H175">
        <v>2468.84</v>
      </c>
      <c r="I175">
        <v>3118</v>
      </c>
      <c r="J175">
        <f>VLOOKUP(D175,运费!B:C,2,0)</f>
        <v>70</v>
      </c>
      <c r="K175" s="8">
        <f t="shared" si="2"/>
        <v>172818.80000000002</v>
      </c>
      <c r="L175" s="8" cm="1">
        <f t="array" ref="L175">(_xlfn.IFS(I175&gt;=4300,570/5500*I175,I175&gt;=3800,0.0806*I175,I175&gt;=3300,0.0706*I175,I175&gt;=2500,0.0676*I175,TRUE,0.02*I175)+10)*H175</f>
        <v>545062.594912</v>
      </c>
    </row>
    <row r="176" spans="1:12" x14ac:dyDescent="0.15">
      <c r="A176">
        <v>6</v>
      </c>
      <c r="B176" t="s">
        <v>338</v>
      </c>
      <c r="C176" t="s">
        <v>320</v>
      </c>
      <c r="D176" t="s">
        <v>321</v>
      </c>
      <c r="E176" t="s">
        <v>347</v>
      </c>
      <c r="F176" t="s">
        <v>45</v>
      </c>
      <c r="G176">
        <v>735</v>
      </c>
      <c r="H176">
        <v>22748.55</v>
      </c>
      <c r="I176">
        <v>3931</v>
      </c>
      <c r="J176">
        <f>VLOOKUP(D176,运费!B:C,2,0)</f>
        <v>68</v>
      </c>
      <c r="K176" s="8">
        <f t="shared" si="2"/>
        <v>1546901.4</v>
      </c>
      <c r="L176" s="8" cm="1">
        <f t="array" ref="L176">(_xlfn.IFS(I176&gt;=4300,570/5500*I176,I176&gt;=3800,0.0806*I176,I176&gt;=3300,0.0706*I176,I176&gt;=2500,0.0676*I176,TRUE,0.02*I176)+10)*H176</f>
        <v>7435104.2340300009</v>
      </c>
    </row>
    <row r="177" spans="1:12" x14ac:dyDescent="0.15">
      <c r="A177">
        <v>7</v>
      </c>
      <c r="B177" t="s">
        <v>338</v>
      </c>
      <c r="C177" t="s">
        <v>348</v>
      </c>
      <c r="D177" t="s">
        <v>207</v>
      </c>
      <c r="E177" t="s">
        <v>349</v>
      </c>
      <c r="F177" t="s">
        <v>45</v>
      </c>
      <c r="G177">
        <v>18</v>
      </c>
      <c r="H177">
        <v>528.74</v>
      </c>
      <c r="J177">
        <f>VLOOKUP(D177,运费!B:C,2,0)</f>
        <v>113</v>
      </c>
      <c r="K177" s="8">
        <f t="shared" si="2"/>
        <v>59747.62</v>
      </c>
      <c r="L177" s="8" cm="1">
        <f t="array" ref="L177">(_xlfn.IFS(I177&gt;=4300,570/5500*I177,I177&gt;=3800,0.0806*I177,I177&gt;=3300,0.0706*I177,I177&gt;=2500,0.0676*I177,TRUE,0.02*I177)+10)*H177</f>
        <v>5287.4</v>
      </c>
    </row>
    <row r="178" spans="1:12" x14ac:dyDescent="0.15">
      <c r="A178">
        <v>8</v>
      </c>
      <c r="B178" t="s">
        <v>338</v>
      </c>
      <c r="C178" t="s">
        <v>350</v>
      </c>
      <c r="D178" t="s">
        <v>56</v>
      </c>
      <c r="E178" t="s">
        <v>351</v>
      </c>
      <c r="F178" t="s">
        <v>12</v>
      </c>
      <c r="G178">
        <v>187</v>
      </c>
      <c r="H178">
        <v>5767.56</v>
      </c>
      <c r="I178">
        <v>4648</v>
      </c>
      <c r="J178">
        <f>VLOOKUP(D178,运费!B:C,2,0)</f>
        <v>67</v>
      </c>
      <c r="K178" s="8">
        <f t="shared" si="2"/>
        <v>386426.52</v>
      </c>
      <c r="L178" s="8" cm="1">
        <f t="array" ref="L178">(_xlfn.IFS(I178&gt;=4300,570/5500*I178,I178&gt;=3800,0.0806*I178,I178&gt;=3300,0.0706*I178,I178&gt;=2500,0.0676*I178,TRUE,0.02*I178)+10)*H178</f>
        <v>2835919.7384727276</v>
      </c>
    </row>
    <row r="179" spans="1:12" x14ac:dyDescent="0.15">
      <c r="A179">
        <v>9</v>
      </c>
      <c r="B179" t="s">
        <v>338</v>
      </c>
      <c r="C179" t="s">
        <v>352</v>
      </c>
      <c r="D179" t="s">
        <v>294</v>
      </c>
      <c r="E179" t="s">
        <v>353</v>
      </c>
      <c r="F179" t="s">
        <v>12</v>
      </c>
      <c r="G179">
        <v>415</v>
      </c>
      <c r="H179">
        <v>11977.36</v>
      </c>
      <c r="I179">
        <v>3570</v>
      </c>
      <c r="J179">
        <f>VLOOKUP(D179,运费!B:C,2,0)</f>
        <v>175.5</v>
      </c>
      <c r="K179" s="8">
        <f t="shared" si="2"/>
        <v>2102026.6800000002</v>
      </c>
      <c r="L179" s="8" cm="1">
        <f t="array" ref="L179">(_xlfn.IFS(I179&gt;=4300,570/5500*I179,I179&gt;=3800,0.0806*I179,I179&gt;=3300,0.0706*I179,I179&gt;=2500,0.0676*I179,TRUE,0.02*I179)+10)*H179</f>
        <v>3138571.3691199999</v>
      </c>
    </row>
    <row r="180" spans="1:12" x14ac:dyDescent="0.15">
      <c r="A180">
        <v>10</v>
      </c>
      <c r="B180" t="s">
        <v>338</v>
      </c>
      <c r="C180" t="s">
        <v>354</v>
      </c>
      <c r="D180" t="s">
        <v>119</v>
      </c>
      <c r="E180" t="s">
        <v>355</v>
      </c>
      <c r="F180" t="s">
        <v>12</v>
      </c>
      <c r="G180">
        <v>62</v>
      </c>
      <c r="H180">
        <v>1957.22</v>
      </c>
      <c r="I180">
        <v>5259</v>
      </c>
      <c r="J180">
        <f>VLOOKUP(D180,运费!B:C,2,0)</f>
        <v>105</v>
      </c>
      <c r="K180" s="8">
        <f t="shared" si="2"/>
        <v>205508.1</v>
      </c>
      <c r="L180" s="8" cm="1">
        <f t="array" ref="L180">(_xlfn.IFS(I180&gt;=4300,570/5500*I180,I180&gt;=3800,0.0806*I180,I180&gt;=3300,0.0706*I180,I180&gt;=2500,0.0676*I180,TRUE,0.02*I180)+10)*H180</f>
        <v>1086303.3615636362</v>
      </c>
    </row>
    <row r="181" spans="1:12" x14ac:dyDescent="0.15">
      <c r="A181">
        <v>11</v>
      </c>
      <c r="B181" t="s">
        <v>338</v>
      </c>
      <c r="C181" t="s">
        <v>356</v>
      </c>
      <c r="D181" t="s">
        <v>264</v>
      </c>
      <c r="E181" t="s">
        <v>357</v>
      </c>
      <c r="F181" t="s">
        <v>12</v>
      </c>
      <c r="G181">
        <v>62</v>
      </c>
      <c r="H181">
        <v>1958.6</v>
      </c>
      <c r="I181">
        <v>5111</v>
      </c>
      <c r="J181">
        <f>VLOOKUP(D181,运费!B:C,2,0)</f>
        <v>114.09</v>
      </c>
      <c r="K181" s="8">
        <f t="shared" si="2"/>
        <v>223456.674</v>
      </c>
      <c r="L181" s="8" cm="1">
        <f t="array" ref="L181">(_xlfn.IFS(I181&gt;=4300,570/5500*I181,I181&gt;=3800,0.0806*I181,I181&gt;=3300,0.0706*I181,I181&gt;=2500,0.0676*I181,TRUE,0.02*I181)+10)*H181</f>
        <v>1057027.9312727274</v>
      </c>
    </row>
    <row r="182" spans="1:12" x14ac:dyDescent="0.15">
      <c r="A182">
        <v>12</v>
      </c>
      <c r="B182" t="s">
        <v>338</v>
      </c>
      <c r="C182" t="s">
        <v>358</v>
      </c>
      <c r="D182" t="s">
        <v>160</v>
      </c>
      <c r="E182" t="s">
        <v>359</v>
      </c>
      <c r="F182" t="s">
        <v>12</v>
      </c>
      <c r="G182">
        <v>1078</v>
      </c>
      <c r="H182">
        <v>34538.769999999997</v>
      </c>
      <c r="I182">
        <v>2993</v>
      </c>
      <c r="J182">
        <f>VLOOKUP(D182,运费!B:C,2,0)</f>
        <v>82</v>
      </c>
      <c r="K182" s="8">
        <f t="shared" si="2"/>
        <v>2832179.1399999997</v>
      </c>
      <c r="L182" s="8" cm="1">
        <f t="array" ref="L182">(_xlfn.IFS(I182&gt;=4300,570/5500*I182,I182&gt;=3800,0.0806*I182,I182&gt;=3300,0.0706*I182,I182&gt;=2500,0.0676*I182,TRUE,0.02*I182)+10)*H182</f>
        <v>7333506.5100359991</v>
      </c>
    </row>
    <row r="183" spans="1:12" x14ac:dyDescent="0.15">
      <c r="A183">
        <v>13</v>
      </c>
      <c r="B183" t="s">
        <v>338</v>
      </c>
      <c r="C183" t="s">
        <v>360</v>
      </c>
      <c r="D183" t="s">
        <v>89</v>
      </c>
      <c r="E183" t="s">
        <v>361</v>
      </c>
      <c r="F183" t="s">
        <v>12</v>
      </c>
      <c r="G183">
        <v>336</v>
      </c>
      <c r="H183">
        <v>9716.3799999999992</v>
      </c>
      <c r="I183">
        <v>4697</v>
      </c>
      <c r="J183">
        <f>VLOOKUP(D183,运费!B:C,2,0)</f>
        <v>108.51</v>
      </c>
      <c r="K183" s="8">
        <f t="shared" si="2"/>
        <v>1054324.3938</v>
      </c>
      <c r="L183" s="8" cm="1">
        <f t="array" ref="L183">(_xlfn.IFS(I183&gt;=4300,570/5500*I183,I183&gt;=3800,0.0806*I183,I183&gt;=3300,0.0706*I183,I183&gt;=2500,0.0676*I183,TRUE,0.02*I183)+10)*H183</f>
        <v>4826903.2564000003</v>
      </c>
    </row>
    <row r="184" spans="1:12" x14ac:dyDescent="0.15">
      <c r="A184">
        <v>14</v>
      </c>
      <c r="B184" t="s">
        <v>338</v>
      </c>
      <c r="C184" t="s">
        <v>334</v>
      </c>
      <c r="D184" t="s">
        <v>89</v>
      </c>
      <c r="E184" t="s">
        <v>361</v>
      </c>
      <c r="F184" t="s">
        <v>12</v>
      </c>
      <c r="G184">
        <v>318</v>
      </c>
      <c r="H184">
        <v>9169.64</v>
      </c>
      <c r="I184">
        <v>4697</v>
      </c>
      <c r="J184">
        <f>VLOOKUP(D184,运费!B:C,2,0)</f>
        <v>108.51</v>
      </c>
      <c r="K184" s="8">
        <f t="shared" si="2"/>
        <v>994997.63639999996</v>
      </c>
      <c r="L184" s="8" cm="1">
        <f t="array" ref="L184">(_xlfn.IFS(I184&gt;=4300,570/5500*I184,I184&gt;=3800,0.0806*I184,I184&gt;=3300,0.0706*I184,I184&gt;=2500,0.0676*I184,TRUE,0.02*I184)+10)*H184</f>
        <v>4555293.7592000002</v>
      </c>
    </row>
    <row r="185" spans="1:12" x14ac:dyDescent="0.15">
      <c r="A185">
        <v>15</v>
      </c>
      <c r="B185" t="s">
        <v>338</v>
      </c>
      <c r="C185" t="s">
        <v>362</v>
      </c>
      <c r="D185" t="s">
        <v>96</v>
      </c>
      <c r="E185" t="s">
        <v>363</v>
      </c>
      <c r="F185" t="s">
        <v>12</v>
      </c>
      <c r="G185">
        <v>635</v>
      </c>
      <c r="H185">
        <v>19826.939999999999</v>
      </c>
      <c r="I185">
        <v>4573</v>
      </c>
      <c r="J185">
        <f>VLOOKUP(D185,运费!B:C,2,0)</f>
        <v>60.5</v>
      </c>
      <c r="K185" s="8">
        <f t="shared" si="2"/>
        <v>1199529.8699999999</v>
      </c>
      <c r="L185" s="8" cm="1">
        <f t="array" ref="L185">(_xlfn.IFS(I185&gt;=4300,570/5500*I185,I185&gt;=3800,0.0806*I185,I185&gt;=3300,0.0706*I185,I185&gt;=2500,0.0676*I185,TRUE,0.02*I185)+10)*H185</f>
        <v>9594833.049709091</v>
      </c>
    </row>
    <row r="186" spans="1:12" x14ac:dyDescent="0.15">
      <c r="A186">
        <v>1</v>
      </c>
      <c r="B186" t="s">
        <v>364</v>
      </c>
      <c r="C186" t="s">
        <v>309</v>
      </c>
      <c r="D186" t="s">
        <v>10</v>
      </c>
      <c r="E186" t="s">
        <v>365</v>
      </c>
      <c r="F186" t="s">
        <v>12</v>
      </c>
      <c r="G186">
        <v>600</v>
      </c>
      <c r="H186">
        <v>17346.97</v>
      </c>
      <c r="I186">
        <v>2228</v>
      </c>
      <c r="J186">
        <f>VLOOKUP(D186,运费!B:C,2,0)</f>
        <v>147.1</v>
      </c>
      <c r="K186" s="8">
        <f t="shared" si="2"/>
        <v>2551739.287</v>
      </c>
      <c r="L186" s="8" cm="1">
        <f t="array" ref="L186">(_xlfn.IFS(I186&gt;=4300,570/5500*I186,I186&gt;=3800,0.0806*I186,I186&gt;=3300,0.0706*I186,I186&gt;=2500,0.0676*I186,TRUE,0.02*I186)+10)*H186</f>
        <v>946450.68320000009</v>
      </c>
    </row>
    <row r="187" spans="1:12" x14ac:dyDescent="0.15">
      <c r="A187">
        <v>2</v>
      </c>
      <c r="B187" t="s">
        <v>364</v>
      </c>
      <c r="C187" t="s">
        <v>366</v>
      </c>
      <c r="D187" t="s">
        <v>226</v>
      </c>
      <c r="E187" t="s">
        <v>367</v>
      </c>
      <c r="F187" t="s">
        <v>12</v>
      </c>
      <c r="G187">
        <v>160</v>
      </c>
      <c r="H187">
        <v>4961.08</v>
      </c>
      <c r="I187">
        <v>6000</v>
      </c>
      <c r="J187">
        <f>VLOOKUP(D187,运费!B:C,2,0)</f>
        <v>78</v>
      </c>
      <c r="K187" s="8">
        <f t="shared" si="2"/>
        <v>386964.24</v>
      </c>
      <c r="L187" s="8" cm="1">
        <f t="array" ref="L187">(_xlfn.IFS(I187&gt;=4300,570/5500*I187,I187&gt;=3800,0.0806*I187,I187&gt;=3300,0.0706*I187,I187&gt;=2500,0.0676*I187,TRUE,0.02*I187)+10)*H187</f>
        <v>3134500.5454545459</v>
      </c>
    </row>
    <row r="188" spans="1:12" x14ac:dyDescent="0.15">
      <c r="A188">
        <v>3</v>
      </c>
      <c r="B188" t="s">
        <v>364</v>
      </c>
      <c r="C188" t="s">
        <v>368</v>
      </c>
      <c r="D188" t="s">
        <v>30</v>
      </c>
      <c r="E188" t="s">
        <v>369</v>
      </c>
      <c r="F188" t="s">
        <v>12</v>
      </c>
      <c r="G188">
        <v>461</v>
      </c>
      <c r="H188">
        <v>14269.66</v>
      </c>
      <c r="I188">
        <v>4587</v>
      </c>
      <c r="J188">
        <f>VLOOKUP(D188,运费!B:C,2,0)</f>
        <v>78</v>
      </c>
      <c r="K188" s="8">
        <f t="shared" si="2"/>
        <v>1113033.48</v>
      </c>
      <c r="L188" s="8" cm="1">
        <f t="array" ref="L188">(_xlfn.IFS(I188&gt;=4300,570/5500*I188,I188&gt;=3800,0.0806*I188,I188&gt;=3300,0.0706*I188,I188&gt;=2500,0.0676*I188,TRUE,0.02*I188)+10)*H188</f>
        <v>6926207.5707999999</v>
      </c>
    </row>
    <row r="189" spans="1:12" x14ac:dyDescent="0.15">
      <c r="A189">
        <v>4</v>
      </c>
      <c r="B189" t="s">
        <v>364</v>
      </c>
      <c r="C189" t="s">
        <v>370</v>
      </c>
      <c r="D189" t="s">
        <v>33</v>
      </c>
      <c r="E189" t="s">
        <v>371</v>
      </c>
      <c r="F189" t="s">
        <v>12</v>
      </c>
      <c r="G189">
        <v>394</v>
      </c>
      <c r="H189">
        <v>12577.48</v>
      </c>
      <c r="I189">
        <v>4422</v>
      </c>
      <c r="J189">
        <f>VLOOKUP(D189,运费!B:C,2,0)</f>
        <v>58</v>
      </c>
      <c r="K189" s="8">
        <f t="shared" si="2"/>
        <v>729493.84</v>
      </c>
      <c r="L189" s="8" cm="1">
        <f t="array" ref="L189">(_xlfn.IFS(I189&gt;=4300,570/5500*I189,I189&gt;=3800,0.0806*I189,I189&gt;=3300,0.0706*I189,I189&gt;=2500,0.0676*I189,TRUE,0.02*I189)+10)*H189</f>
        <v>5889782.3344000001</v>
      </c>
    </row>
    <row r="190" spans="1:12" x14ac:dyDescent="0.15">
      <c r="A190">
        <v>5</v>
      </c>
      <c r="B190" t="s">
        <v>364</v>
      </c>
      <c r="C190" t="s">
        <v>372</v>
      </c>
      <c r="D190" t="s">
        <v>147</v>
      </c>
      <c r="E190" t="s">
        <v>373</v>
      </c>
      <c r="F190" t="s">
        <v>45</v>
      </c>
      <c r="G190">
        <v>93</v>
      </c>
      <c r="H190">
        <v>2971.2</v>
      </c>
      <c r="I190">
        <v>3340</v>
      </c>
      <c r="J190">
        <f>VLOOKUP(D190,运费!B:C,2,0)</f>
        <v>70</v>
      </c>
      <c r="K190" s="8">
        <f t="shared" si="2"/>
        <v>207984</v>
      </c>
      <c r="L190" s="8" cm="1">
        <f t="array" ref="L190">(_xlfn.IFS(I190&gt;=4300,570/5500*I190,I190&gt;=3800,0.0806*I190,I190&gt;=3300,0.0706*I190,I190&gt;=2500,0.0676*I190,TRUE,0.02*I190)+10)*H190</f>
        <v>730332.84479999985</v>
      </c>
    </row>
    <row r="191" spans="1:12" x14ac:dyDescent="0.15">
      <c r="A191">
        <v>6</v>
      </c>
      <c r="B191" t="s">
        <v>364</v>
      </c>
      <c r="C191" t="s">
        <v>374</v>
      </c>
      <c r="D191" t="s">
        <v>321</v>
      </c>
      <c r="E191" t="s">
        <v>375</v>
      </c>
      <c r="F191" t="s">
        <v>45</v>
      </c>
      <c r="G191">
        <v>942</v>
      </c>
      <c r="H191">
        <v>29737.279999999999</v>
      </c>
      <c r="I191">
        <v>3814</v>
      </c>
      <c r="J191">
        <f>VLOOKUP(D191,运费!B:C,2,0)</f>
        <v>68</v>
      </c>
      <c r="K191" s="8">
        <f t="shared" si="2"/>
        <v>2022135.04</v>
      </c>
      <c r="L191" s="8" cm="1">
        <f t="array" ref="L191">(_xlfn.IFS(I191&gt;=4300,570/5500*I191,I191&gt;=3800,0.0806*I191,I191&gt;=3300,0.0706*I191,I191&gt;=2500,0.0676*I191,TRUE,0.02*I191)+10)*H191</f>
        <v>9438862.465152001</v>
      </c>
    </row>
    <row r="192" spans="1:12" x14ac:dyDescent="0.15">
      <c r="A192">
        <v>7</v>
      </c>
      <c r="B192" t="s">
        <v>364</v>
      </c>
      <c r="C192" t="s">
        <v>376</v>
      </c>
      <c r="D192" t="s">
        <v>56</v>
      </c>
      <c r="E192" t="s">
        <v>377</v>
      </c>
      <c r="F192" t="s">
        <v>12</v>
      </c>
      <c r="G192">
        <v>199</v>
      </c>
      <c r="H192">
        <v>5779.38</v>
      </c>
      <c r="I192">
        <v>4731</v>
      </c>
      <c r="J192">
        <f>VLOOKUP(D192,运费!B:C,2,0)</f>
        <v>67</v>
      </c>
      <c r="K192" s="8">
        <f t="shared" si="2"/>
        <v>387218.46</v>
      </c>
      <c r="L192" s="8" cm="1">
        <f t="array" ref="L192">(_xlfn.IFS(I192&gt;=4300,570/5500*I192,I192&gt;=3800,0.0806*I192,I192&gt;=3300,0.0706*I192,I192&gt;=2500,0.0676*I192,TRUE,0.02*I192)+10)*H192</f>
        <v>2891444.8299272726</v>
      </c>
    </row>
    <row r="193" spans="1:12" x14ac:dyDescent="0.15">
      <c r="A193">
        <v>8</v>
      </c>
      <c r="B193" t="s">
        <v>364</v>
      </c>
      <c r="C193" t="s">
        <v>352</v>
      </c>
      <c r="D193" t="s">
        <v>294</v>
      </c>
      <c r="E193" t="s">
        <v>378</v>
      </c>
      <c r="F193" t="s">
        <v>12</v>
      </c>
      <c r="G193">
        <v>795</v>
      </c>
      <c r="H193">
        <v>22973.040000000001</v>
      </c>
      <c r="I193">
        <v>3748</v>
      </c>
      <c r="J193">
        <f>VLOOKUP(D193,运费!B:C,2,0)</f>
        <v>175.5</v>
      </c>
      <c r="K193" s="8">
        <f t="shared" si="2"/>
        <v>4031768.52</v>
      </c>
      <c r="L193" s="8" cm="1">
        <f t="array" ref="L193">(_xlfn.IFS(I193&gt;=4300,570/5500*I193,I193&gt;=3800,0.0806*I193,I193&gt;=3300,0.0706*I193,I193&gt;=2500,0.0676*I193,TRUE,0.02*I193)+10)*H193</f>
        <v>6308598.9467519997</v>
      </c>
    </row>
    <row r="194" spans="1:12" x14ac:dyDescent="0.15">
      <c r="A194">
        <v>9</v>
      </c>
      <c r="B194" t="s">
        <v>364</v>
      </c>
      <c r="C194" t="s">
        <v>379</v>
      </c>
      <c r="D194" t="s">
        <v>294</v>
      </c>
      <c r="E194" t="s">
        <v>378</v>
      </c>
      <c r="F194" t="s">
        <v>12</v>
      </c>
      <c r="G194">
        <v>247</v>
      </c>
      <c r="H194">
        <v>7102.9</v>
      </c>
      <c r="I194">
        <v>3748</v>
      </c>
      <c r="J194">
        <f>VLOOKUP(D194,运费!B:C,2,0)</f>
        <v>175.5</v>
      </c>
      <c r="K194" s="8">
        <f t="shared" si="2"/>
        <v>1246558.95</v>
      </c>
      <c r="L194" s="8" cm="1">
        <f t="array" ref="L194">(_xlfn.IFS(I194&gt;=4300,570/5500*I194,I194&gt;=3800,0.0806*I194,I194&gt;=3300,0.0706*I194,I194&gt;=2500,0.0676*I194,TRUE,0.02*I194)+10)*H194</f>
        <v>1950518.8455199997</v>
      </c>
    </row>
    <row r="195" spans="1:12" x14ac:dyDescent="0.15">
      <c r="A195">
        <v>10</v>
      </c>
      <c r="B195" t="s">
        <v>364</v>
      </c>
      <c r="C195" t="s">
        <v>327</v>
      </c>
      <c r="D195" t="s">
        <v>294</v>
      </c>
      <c r="E195" t="s">
        <v>378</v>
      </c>
      <c r="F195" t="s">
        <v>12</v>
      </c>
      <c r="G195">
        <v>9</v>
      </c>
      <c r="H195">
        <v>261.98</v>
      </c>
      <c r="I195">
        <v>3748</v>
      </c>
      <c r="J195">
        <f>VLOOKUP(D195,运费!B:C,2,0)</f>
        <v>175.5</v>
      </c>
      <c r="K195" s="8">
        <f t="shared" ref="K195:K216" si="3">H195*J195</f>
        <v>45977.490000000005</v>
      </c>
      <c r="L195" s="8" cm="1">
        <f t="array" ref="L195">(_xlfn.IFS(I195&gt;=4300,570/5500*I195,I195&gt;=3800,0.0806*I195,I195&gt;=3300,0.0706*I195,I195&gt;=2500,0.0676*I195,TRUE,0.02*I195)+10)*H195</f>
        <v>71942.013424000004</v>
      </c>
    </row>
    <row r="196" spans="1:12" x14ac:dyDescent="0.15">
      <c r="A196">
        <v>11</v>
      </c>
      <c r="B196" t="s">
        <v>364</v>
      </c>
      <c r="C196" t="s">
        <v>380</v>
      </c>
      <c r="D196" t="s">
        <v>119</v>
      </c>
      <c r="E196" t="s">
        <v>381</v>
      </c>
      <c r="F196" t="s">
        <v>12</v>
      </c>
      <c r="G196">
        <v>86</v>
      </c>
      <c r="H196">
        <v>2694.42</v>
      </c>
      <c r="I196">
        <v>5105</v>
      </c>
      <c r="J196">
        <f>VLOOKUP(D196,运费!B:C,2,0)</f>
        <v>105</v>
      </c>
      <c r="K196" s="8">
        <f t="shared" si="3"/>
        <v>282914.10000000003</v>
      </c>
      <c r="L196" s="8" cm="1">
        <f t="array" ref="L196">(_xlfn.IFS(I196&gt;=4300,570/5500*I196,I196&gt;=3800,0.0806*I196,I196&gt;=3300,0.0706*I196,I196&gt;=2500,0.0676*I196,TRUE,0.02*I196)+10)*H196</f>
        <v>1452463.8430909093</v>
      </c>
    </row>
    <row r="197" spans="1:12" x14ac:dyDescent="0.15">
      <c r="A197">
        <v>12</v>
      </c>
      <c r="B197" t="s">
        <v>364</v>
      </c>
      <c r="C197" t="s">
        <v>382</v>
      </c>
      <c r="D197" t="s">
        <v>69</v>
      </c>
      <c r="E197" t="s">
        <v>383</v>
      </c>
      <c r="F197" t="s">
        <v>12</v>
      </c>
      <c r="G197">
        <v>95</v>
      </c>
      <c r="H197">
        <v>2952.84</v>
      </c>
      <c r="I197">
        <v>4478</v>
      </c>
      <c r="J197">
        <f>VLOOKUP(D197,运费!B:C,2,0)</f>
        <v>104.5</v>
      </c>
      <c r="K197" s="8">
        <f t="shared" si="3"/>
        <v>308571.78000000003</v>
      </c>
      <c r="L197" s="8" cm="1">
        <f t="array" ref="L197">(_xlfn.IFS(I197&gt;=4300,570/5500*I197,I197&gt;=3800,0.0806*I197,I197&gt;=3300,0.0706*I197,I197&gt;=2500,0.0676*I197,TRUE,0.02*I197)+10)*H197</f>
        <v>1399893.1248000001</v>
      </c>
    </row>
    <row r="198" spans="1:12" x14ac:dyDescent="0.15">
      <c r="A198">
        <v>13</v>
      </c>
      <c r="B198" t="s">
        <v>364</v>
      </c>
      <c r="C198" t="s">
        <v>384</v>
      </c>
      <c r="D198" t="s">
        <v>264</v>
      </c>
      <c r="E198" t="s">
        <v>385</v>
      </c>
      <c r="F198" t="s">
        <v>12</v>
      </c>
      <c r="G198">
        <v>47</v>
      </c>
      <c r="H198">
        <v>1485.52</v>
      </c>
      <c r="I198">
        <v>4953</v>
      </c>
      <c r="J198">
        <f>VLOOKUP(D198,运费!B:C,2,0)</f>
        <v>114.09</v>
      </c>
      <c r="K198" s="8">
        <f t="shared" si="3"/>
        <v>169482.9768</v>
      </c>
      <c r="L198" s="8" cm="1">
        <f t="array" ref="L198">(_xlfn.IFS(I198&gt;=4300,570/5500*I198,I198&gt;=3800,0.0806*I198,I198&gt;=3300,0.0706*I198,I198&gt;=2500,0.0676*I198,TRUE,0.02*I198)+10)*H198</f>
        <v>777388.82167272735</v>
      </c>
    </row>
    <row r="199" spans="1:12" x14ac:dyDescent="0.15">
      <c r="A199">
        <v>14</v>
      </c>
      <c r="B199" t="s">
        <v>364</v>
      </c>
      <c r="C199" t="s">
        <v>386</v>
      </c>
      <c r="D199" t="s">
        <v>160</v>
      </c>
      <c r="E199" t="s">
        <v>387</v>
      </c>
      <c r="F199" t="s">
        <v>12</v>
      </c>
      <c r="G199">
        <v>768</v>
      </c>
      <c r="H199">
        <v>24609.38</v>
      </c>
      <c r="I199">
        <v>3080</v>
      </c>
      <c r="J199">
        <f>VLOOKUP(D199,运费!B:C,2,0)</f>
        <v>82</v>
      </c>
      <c r="K199" s="8">
        <f t="shared" si="3"/>
        <v>2017969.1600000001</v>
      </c>
      <c r="L199" s="8" cm="1">
        <f t="array" ref="L199">(_xlfn.IFS(I199&gt;=4300,570/5500*I199,I199&gt;=3800,0.0806*I199,I199&gt;=3300,0.0706*I199,I199&gt;=2500,0.0676*I199,TRUE,0.02*I199)+10)*H199</f>
        <v>5369963.5910399994</v>
      </c>
    </row>
    <row r="200" spans="1:12" x14ac:dyDescent="0.15">
      <c r="A200">
        <v>15</v>
      </c>
      <c r="B200" t="s">
        <v>364</v>
      </c>
      <c r="C200" t="s">
        <v>388</v>
      </c>
      <c r="D200" t="s">
        <v>86</v>
      </c>
      <c r="E200" t="s">
        <v>389</v>
      </c>
      <c r="F200" t="s">
        <v>12</v>
      </c>
      <c r="G200">
        <v>86</v>
      </c>
      <c r="H200">
        <v>2448.94</v>
      </c>
      <c r="I200">
        <v>2855</v>
      </c>
      <c r="J200">
        <f>VLOOKUP(D200,运费!B:C,2,0)</f>
        <v>116.8</v>
      </c>
      <c r="K200" s="8">
        <f t="shared" si="3"/>
        <v>286036.19199999998</v>
      </c>
      <c r="L200" s="8" cm="1">
        <f t="array" ref="L200">(_xlfn.IFS(I200&gt;=4300,570/5500*I200,I200&gt;=3800,0.0806*I200,I200&gt;=3300,0.0706*I200,I200&gt;=2500,0.0676*I200,TRUE,0.02*I200)+10)*H200</f>
        <v>497129.92212</v>
      </c>
    </row>
    <row r="201" spans="1:12" x14ac:dyDescent="0.15">
      <c r="A201">
        <v>16</v>
      </c>
      <c r="B201" t="s">
        <v>364</v>
      </c>
      <c r="C201" t="s">
        <v>360</v>
      </c>
      <c r="D201" t="s">
        <v>89</v>
      </c>
      <c r="E201" t="s">
        <v>390</v>
      </c>
      <c r="F201" t="s">
        <v>12</v>
      </c>
      <c r="G201">
        <v>151</v>
      </c>
      <c r="H201">
        <v>4345.8599999999997</v>
      </c>
      <c r="I201">
        <v>4237</v>
      </c>
      <c r="J201">
        <f>VLOOKUP(D201,运费!B:C,2,0)</f>
        <v>108.51</v>
      </c>
      <c r="K201" s="8">
        <f t="shared" si="3"/>
        <v>471569.26860000001</v>
      </c>
      <c r="L201" s="8" cm="1">
        <f t="array" ref="L201">(_xlfn.IFS(I201&gt;=4300,570/5500*I201,I201&gt;=3800,0.0806*I201,I201&gt;=3300,0.0706*I201,I201&gt;=2500,0.0676*I201,TRUE,0.02*I201)+10)*H201</f>
        <v>1527579.3508919999</v>
      </c>
    </row>
    <row r="202" spans="1:12" x14ac:dyDescent="0.15">
      <c r="A202">
        <v>17</v>
      </c>
      <c r="B202" t="s">
        <v>364</v>
      </c>
      <c r="C202" t="s">
        <v>391</v>
      </c>
      <c r="D202" t="s">
        <v>96</v>
      </c>
      <c r="E202" t="s">
        <v>392</v>
      </c>
      <c r="F202" t="s">
        <v>12</v>
      </c>
      <c r="G202">
        <v>838</v>
      </c>
      <c r="H202">
        <v>26341.52</v>
      </c>
      <c r="I202">
        <v>4191</v>
      </c>
      <c r="J202">
        <f>VLOOKUP(D202,运费!B:C,2,0)</f>
        <v>60.5</v>
      </c>
      <c r="K202" s="8">
        <f t="shared" si="3"/>
        <v>1593661.96</v>
      </c>
      <c r="L202" s="8" cm="1">
        <f t="array" ref="L202">(_xlfn.IFS(I202&gt;=4300,570/5500*I202,I202&gt;=3800,0.0806*I202,I202&gt;=3300,0.0706*I202,I202&gt;=2500,0.0676*I202,TRUE,0.02*I202)+10)*H202</f>
        <v>9161438.4117920008</v>
      </c>
    </row>
    <row r="203" spans="1:12" x14ac:dyDescent="0.15">
      <c r="A203">
        <v>1</v>
      </c>
      <c r="B203" t="s">
        <v>393</v>
      </c>
      <c r="C203" t="s">
        <v>394</v>
      </c>
      <c r="D203" t="s">
        <v>10</v>
      </c>
      <c r="E203" t="s">
        <v>395</v>
      </c>
      <c r="F203" t="s">
        <v>12</v>
      </c>
      <c r="G203">
        <v>765</v>
      </c>
      <c r="H203">
        <v>22062.58</v>
      </c>
      <c r="I203">
        <v>2220</v>
      </c>
      <c r="J203">
        <f>VLOOKUP(D203,运费!B:C,2,0)</f>
        <v>147.1</v>
      </c>
      <c r="K203" s="8">
        <f t="shared" si="3"/>
        <v>3245405.5180000002</v>
      </c>
      <c r="L203" s="8" cm="1">
        <f t="array" ref="L203">(_xlfn.IFS(I203&gt;=4300,570/5500*I203,I203&gt;=3800,0.0806*I203,I203&gt;=3300,0.0706*I203,I203&gt;=2500,0.0676*I203,TRUE,0.02*I203)+10)*H203</f>
        <v>1200204.352</v>
      </c>
    </row>
    <row r="204" spans="1:12" x14ac:dyDescent="0.15">
      <c r="A204">
        <v>2</v>
      </c>
      <c r="B204" t="s">
        <v>393</v>
      </c>
      <c r="C204" t="s">
        <v>309</v>
      </c>
      <c r="D204" t="s">
        <v>10</v>
      </c>
      <c r="E204" t="s">
        <v>395</v>
      </c>
      <c r="F204" t="s">
        <v>12</v>
      </c>
      <c r="G204">
        <v>243</v>
      </c>
      <c r="H204">
        <v>7026.64</v>
      </c>
      <c r="I204">
        <v>2220</v>
      </c>
      <c r="J204">
        <f>VLOOKUP(D204,运费!B:C,2,0)</f>
        <v>147.1</v>
      </c>
      <c r="K204" s="8">
        <f t="shared" si="3"/>
        <v>1033618.7440000001</v>
      </c>
      <c r="L204" s="8" cm="1">
        <f t="array" ref="L204">(_xlfn.IFS(I204&gt;=4300,570/5500*I204,I204&gt;=3800,0.0806*I204,I204&gt;=3300,0.0706*I204,I204&gt;=2500,0.0676*I204,TRUE,0.02*I204)+10)*H204</f>
        <v>382249.21600000001</v>
      </c>
    </row>
    <row r="205" spans="1:12" x14ac:dyDescent="0.15">
      <c r="A205">
        <v>3</v>
      </c>
      <c r="B205" t="s">
        <v>393</v>
      </c>
      <c r="C205" t="s">
        <v>396</v>
      </c>
      <c r="D205" t="s">
        <v>30</v>
      </c>
      <c r="E205" t="s">
        <v>397</v>
      </c>
      <c r="F205" t="s">
        <v>12</v>
      </c>
      <c r="G205">
        <v>121</v>
      </c>
      <c r="H205">
        <v>3626.52</v>
      </c>
      <c r="I205">
        <v>4129</v>
      </c>
      <c r="J205">
        <f>VLOOKUP(D205,运费!B:C,2,0)</f>
        <v>78</v>
      </c>
      <c r="K205" s="8">
        <f t="shared" si="3"/>
        <v>282868.56</v>
      </c>
      <c r="L205" s="8" cm="1">
        <f t="array" ref="L205">(_xlfn.IFS(I205&gt;=4300,570/5500*I205,I205&gt;=3800,0.0806*I205,I205&gt;=3300,0.0706*I205,I205&gt;=2500,0.0676*I205,TRUE,0.02*I205)+10)*H205</f>
        <v>1243161.6270480002</v>
      </c>
    </row>
    <row r="206" spans="1:12" x14ac:dyDescent="0.15">
      <c r="A206">
        <v>4</v>
      </c>
      <c r="B206" t="s">
        <v>393</v>
      </c>
      <c r="C206" t="s">
        <v>398</v>
      </c>
      <c r="D206" t="s">
        <v>33</v>
      </c>
      <c r="E206" t="s">
        <v>399</v>
      </c>
      <c r="F206" t="s">
        <v>12</v>
      </c>
      <c r="G206">
        <v>1051</v>
      </c>
      <c r="H206">
        <v>32939.300000000003</v>
      </c>
      <c r="I206">
        <v>4300</v>
      </c>
      <c r="J206">
        <f>VLOOKUP(D206,运费!B:C,2,0)</f>
        <v>58</v>
      </c>
      <c r="K206" s="8">
        <f t="shared" si="3"/>
        <v>1910479.4000000001</v>
      </c>
      <c r="L206" s="8" cm="1">
        <f t="array" ref="L206">(_xlfn.IFS(I206&gt;=4300,570/5500*I206,I206&gt;=3800,0.0806*I206,I206&gt;=3300,0.0706*I206,I206&gt;=2500,0.0676*I206,TRUE,0.02*I206)+10)*H206</f>
        <v>15008342.872727273</v>
      </c>
    </row>
    <row r="207" spans="1:12" x14ac:dyDescent="0.15">
      <c r="A207">
        <v>5</v>
      </c>
      <c r="B207" t="s">
        <v>393</v>
      </c>
      <c r="C207" t="s">
        <v>400</v>
      </c>
      <c r="D207" t="s">
        <v>147</v>
      </c>
      <c r="E207" t="s">
        <v>401</v>
      </c>
      <c r="F207" t="s">
        <v>45</v>
      </c>
      <c r="G207">
        <v>154</v>
      </c>
      <c r="H207">
        <v>4940.1400000000003</v>
      </c>
      <c r="I207">
        <v>2852</v>
      </c>
      <c r="J207">
        <f>VLOOKUP(D207,运费!B:C,2,0)</f>
        <v>70</v>
      </c>
      <c r="K207" s="8">
        <f t="shared" si="3"/>
        <v>345809.80000000005</v>
      </c>
      <c r="L207" s="8" cm="1">
        <f t="array" ref="L207">(_xlfn.IFS(I207&gt;=4300,570/5500*I207,I207&gt;=3800,0.0806*I207,I207&gt;=3300,0.0706*I207,I207&gt;=2500,0.0676*I207,TRUE,0.02*I207)+10)*H207</f>
        <v>1001836.6793280001</v>
      </c>
    </row>
    <row r="208" spans="1:12" x14ac:dyDescent="0.15">
      <c r="A208">
        <v>6</v>
      </c>
      <c r="B208" t="s">
        <v>393</v>
      </c>
      <c r="C208" t="s">
        <v>402</v>
      </c>
      <c r="D208" t="s">
        <v>321</v>
      </c>
      <c r="E208" t="s">
        <v>403</v>
      </c>
      <c r="F208" t="s">
        <v>45</v>
      </c>
      <c r="G208">
        <v>664</v>
      </c>
      <c r="H208">
        <v>20773.900000000001</v>
      </c>
      <c r="I208">
        <v>3899</v>
      </c>
      <c r="J208">
        <f>VLOOKUP(D208,运费!B:C,2,0)</f>
        <v>68</v>
      </c>
      <c r="K208" s="8">
        <f t="shared" si="3"/>
        <v>1412625.2000000002</v>
      </c>
      <c r="L208" s="8" cm="1">
        <f t="array" ref="L208">(_xlfn.IFS(I208&gt;=4300,570/5500*I208,I208&gt;=3800,0.0806*I208,I208&gt;=3300,0.0706*I208,I208&gt;=2500,0.0676*I208,TRUE,0.02*I208)+10)*H208</f>
        <v>6736132.3496600008</v>
      </c>
    </row>
    <row r="209" spans="1:12" x14ac:dyDescent="0.15">
      <c r="A209">
        <v>7</v>
      </c>
      <c r="B209" t="s">
        <v>393</v>
      </c>
      <c r="C209" t="s">
        <v>379</v>
      </c>
      <c r="D209" t="s">
        <v>294</v>
      </c>
      <c r="E209" t="s">
        <v>404</v>
      </c>
      <c r="F209" t="s">
        <v>12</v>
      </c>
      <c r="G209">
        <v>1396</v>
      </c>
      <c r="H209">
        <v>40135.160000000003</v>
      </c>
      <c r="I209">
        <v>3301</v>
      </c>
      <c r="J209">
        <f>VLOOKUP(D209,运费!B:C,2,0)</f>
        <v>175.5</v>
      </c>
      <c r="K209" s="8">
        <f t="shared" si="3"/>
        <v>7043720.580000001</v>
      </c>
      <c r="L209" s="8" cm="1">
        <f t="array" ref="L209">(_xlfn.IFS(I209&gt;=4300,570/5500*I209,I209&gt;=3800,0.0806*I209,I209&gt;=3300,0.0706*I209,I209&gt;=2500,0.0676*I209,TRUE,0.02*I209)+10)*H209</f>
        <v>9754874.7190959994</v>
      </c>
    </row>
    <row r="210" spans="1:12" x14ac:dyDescent="0.15">
      <c r="A210">
        <v>8</v>
      </c>
      <c r="B210" t="s">
        <v>393</v>
      </c>
      <c r="C210" t="s">
        <v>405</v>
      </c>
      <c r="D210" t="s">
        <v>294</v>
      </c>
      <c r="E210" t="s">
        <v>404</v>
      </c>
      <c r="F210" t="s">
        <v>12</v>
      </c>
      <c r="G210">
        <v>345</v>
      </c>
      <c r="H210">
        <v>9897.4</v>
      </c>
      <c r="I210">
        <v>3301</v>
      </c>
      <c r="J210">
        <f>VLOOKUP(D210,运费!B:C,2,0)</f>
        <v>175.5</v>
      </c>
      <c r="K210" s="8">
        <f t="shared" si="3"/>
        <v>1736993.7</v>
      </c>
      <c r="L210" s="8" cm="1">
        <f t="array" ref="L210">(_xlfn.IFS(I210&gt;=4300,570/5500*I210,I210&gt;=3800,0.0806*I210,I210&gt;=3300,0.0706*I210,I210&gt;=2500,0.0676*I210,TRUE,0.02*I210)+10)*H210</f>
        <v>2405569.0084399995</v>
      </c>
    </row>
    <row r="211" spans="1:12" x14ac:dyDescent="0.15">
      <c r="A211">
        <v>9</v>
      </c>
      <c r="B211" t="s">
        <v>393</v>
      </c>
      <c r="C211" t="s">
        <v>406</v>
      </c>
      <c r="D211" t="s">
        <v>119</v>
      </c>
      <c r="E211" t="s">
        <v>407</v>
      </c>
      <c r="F211" t="s">
        <v>12</v>
      </c>
      <c r="G211">
        <v>127</v>
      </c>
      <c r="H211">
        <v>3952.88</v>
      </c>
      <c r="I211">
        <v>5107</v>
      </c>
      <c r="J211">
        <f>VLOOKUP(D211,运费!B:C,2,0)</f>
        <v>105</v>
      </c>
      <c r="K211" s="8">
        <f t="shared" si="3"/>
        <v>415052.4</v>
      </c>
      <c r="L211" s="8" cm="1">
        <f t="array" ref="L211">(_xlfn.IFS(I211&gt;=4300,570/5500*I211,I211&gt;=3800,0.0806*I211,I211&gt;=3300,0.0706*I211,I211&gt;=2500,0.0676*I211,TRUE,0.02*I211)+10)*H211</f>
        <v>2131673.1911272728</v>
      </c>
    </row>
    <row r="212" spans="1:12" x14ac:dyDescent="0.15">
      <c r="A212">
        <v>10</v>
      </c>
      <c r="B212" t="s">
        <v>393</v>
      </c>
      <c r="C212" t="s">
        <v>408</v>
      </c>
      <c r="D212" t="s">
        <v>264</v>
      </c>
      <c r="E212" t="s">
        <v>409</v>
      </c>
      <c r="F212" t="s">
        <v>12</v>
      </c>
      <c r="G212">
        <v>51</v>
      </c>
      <c r="H212">
        <v>1531.64</v>
      </c>
      <c r="I212">
        <v>4463</v>
      </c>
      <c r="J212">
        <f>VLOOKUP(D212,运费!B:C,2,0)</f>
        <v>114.09</v>
      </c>
      <c r="K212" s="8">
        <f t="shared" si="3"/>
        <v>174744.80760000003</v>
      </c>
      <c r="L212" s="8" cm="1">
        <f t="array" ref="L212">(_xlfn.IFS(I212&gt;=4300,570/5500*I212,I212&gt;=3800,0.0806*I212,I212&gt;=3300,0.0706*I212,I212&gt;=2500,0.0676*I212,TRUE,0.02*I212)+10)*H212</f>
        <v>723744.45680000004</v>
      </c>
    </row>
    <row r="213" spans="1:12" x14ac:dyDescent="0.15">
      <c r="A213">
        <v>11</v>
      </c>
      <c r="B213" t="s">
        <v>393</v>
      </c>
      <c r="C213" t="s">
        <v>410</v>
      </c>
      <c r="D213" t="s">
        <v>160</v>
      </c>
      <c r="E213" t="s">
        <v>411</v>
      </c>
      <c r="F213" t="s">
        <v>12</v>
      </c>
      <c r="G213">
        <v>198</v>
      </c>
      <c r="H213">
        <v>6411.78</v>
      </c>
      <c r="I213">
        <v>2948</v>
      </c>
      <c r="J213">
        <f>VLOOKUP(D213,运费!B:C,2,0)</f>
        <v>82</v>
      </c>
      <c r="K213" s="8">
        <f t="shared" si="3"/>
        <v>525765.96</v>
      </c>
      <c r="L213" s="8" cm="1">
        <f t="array" ref="L213">(_xlfn.IFS(I213&gt;=4300,570/5500*I213,I213&gt;=3800,0.0806*I213,I213&gt;=3300,0.0706*I213,I213&gt;=2500,0.0676*I213,TRUE,0.02*I213)+10)*H213</f>
        <v>1341888.0949439998</v>
      </c>
    </row>
    <row r="214" spans="1:12" x14ac:dyDescent="0.15">
      <c r="A214">
        <v>12</v>
      </c>
      <c r="B214" t="s">
        <v>393</v>
      </c>
      <c r="C214" t="s">
        <v>388</v>
      </c>
      <c r="D214" t="s">
        <v>86</v>
      </c>
      <c r="E214" t="s">
        <v>412</v>
      </c>
      <c r="F214" t="s">
        <v>12</v>
      </c>
      <c r="G214">
        <v>67</v>
      </c>
      <c r="H214">
        <v>1909.46</v>
      </c>
      <c r="I214">
        <v>2907</v>
      </c>
      <c r="J214">
        <f>VLOOKUP(D214,运费!B:C,2,0)</f>
        <v>116.8</v>
      </c>
      <c r="K214" s="8">
        <f t="shared" si="3"/>
        <v>223024.92799999999</v>
      </c>
      <c r="L214" s="8" cm="1">
        <f t="array" ref="L214">(_xlfn.IFS(I214&gt;=4300,570/5500*I214,I214&gt;=3800,0.0806*I214,I214&gt;=3300,0.0706*I214,I214&gt;=2500,0.0676*I214,TRUE,0.02*I214)+10)*H214</f>
        <v>394328.69487199996</v>
      </c>
    </row>
    <row r="215" spans="1:12" x14ac:dyDescent="0.15">
      <c r="A215">
        <v>13</v>
      </c>
      <c r="B215" t="s">
        <v>393</v>
      </c>
      <c r="C215" t="s">
        <v>413</v>
      </c>
      <c r="D215" t="s">
        <v>89</v>
      </c>
      <c r="E215" t="s">
        <v>414</v>
      </c>
      <c r="F215" t="s">
        <v>12</v>
      </c>
      <c r="G215">
        <v>155</v>
      </c>
      <c r="H215">
        <v>4380.38</v>
      </c>
      <c r="I215">
        <v>4565</v>
      </c>
      <c r="J215">
        <f>VLOOKUP(D215,运费!B:C,2,0)</f>
        <v>108.51</v>
      </c>
      <c r="K215" s="8">
        <f t="shared" si="3"/>
        <v>475315.03380000003</v>
      </c>
      <c r="L215" s="8" cm="1">
        <f t="array" ref="L215">(_xlfn.IFS(I215&gt;=4300,570/5500*I215,I215&gt;=3800,0.0806*I215,I215&gt;=3300,0.0706*I215,I215&gt;=2500,0.0676*I215,TRUE,0.02*I215)+10)*H215</f>
        <v>2116161.5780000002</v>
      </c>
    </row>
    <row r="216" spans="1:12" x14ac:dyDescent="0.15">
      <c r="A216">
        <v>14</v>
      </c>
      <c r="B216" t="s">
        <v>393</v>
      </c>
      <c r="C216" t="s">
        <v>415</v>
      </c>
      <c r="D216" t="s">
        <v>96</v>
      </c>
      <c r="E216" t="s">
        <v>416</v>
      </c>
      <c r="F216" t="s">
        <v>12</v>
      </c>
      <c r="G216">
        <v>1225</v>
      </c>
      <c r="H216">
        <v>37736.6</v>
      </c>
      <c r="I216">
        <v>3638</v>
      </c>
      <c r="J216">
        <f>VLOOKUP(D216,运费!B:C,2,0)</f>
        <v>60.5</v>
      </c>
      <c r="K216" s="8">
        <f t="shared" si="3"/>
        <v>2283064.2999999998</v>
      </c>
      <c r="L216" s="8" cm="1">
        <f t="array" ref="L216">(_xlfn.IFS(I216&gt;=4300,570/5500*I216,I216&gt;=3800,0.0806*I216,I216&gt;=3300,0.0706*I216,I216&gt;=2500,0.0676*I216,TRUE,0.02*I216)+10)*H216</f>
        <v>10069740.006480001</v>
      </c>
    </row>
    <row r="217" spans="1:12" x14ac:dyDescent="0.15">
      <c r="K217" s="8">
        <f>SUBTOTAL(109,K2:K216)</f>
        <v>184239426.28990009</v>
      </c>
      <c r="L217" s="8">
        <f>SUM(L2:L216)</f>
        <v>660652999.70396781</v>
      </c>
    </row>
    <row r="218" spans="1:12" x14ac:dyDescent="0.15">
      <c r="K218" s="9">
        <f>K217/1.09</f>
        <v>169026996.59623861</v>
      </c>
    </row>
  </sheetData>
  <autoFilter ref="A1:I218" xr:uid="{00000000-0001-0000-0000-000000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D96E-AD92-4B1B-A6E9-D675EEA56372}">
  <dimension ref="A1:L44"/>
  <sheetViews>
    <sheetView zoomScale="145" zoomScaleNormal="145" workbookViewId="0">
      <selection activeCell="B44" sqref="B44"/>
    </sheetView>
  </sheetViews>
  <sheetFormatPr defaultRowHeight="13.5" x14ac:dyDescent="0.15"/>
  <cols>
    <col min="1" max="1" width="15.25" style="4" customWidth="1"/>
    <col min="2" max="2" width="31.75" style="4" bestFit="1" customWidth="1"/>
    <col min="3" max="3" width="10.25" style="4" customWidth="1"/>
    <col min="4" max="4" width="9.25" style="4" bestFit="1" customWidth="1"/>
    <col min="5" max="5" width="10.25" style="4" customWidth="1"/>
    <col min="6" max="6" width="9" style="4"/>
    <col min="7" max="8" width="10.25" style="4" customWidth="1"/>
    <col min="9" max="9" width="9" style="4"/>
    <col min="10" max="12" width="10.25" style="4" customWidth="1"/>
    <col min="13" max="13" width="9" style="4"/>
    <col min="14" max="15" width="10.25" style="4" customWidth="1"/>
    <col min="16" max="16384" width="9" style="4"/>
  </cols>
  <sheetData>
    <row r="1" spans="1:12" ht="14.25" x14ac:dyDescent="0.15">
      <c r="A1" s="3" t="s">
        <v>418</v>
      </c>
      <c r="B1" s="3" t="s">
        <v>483</v>
      </c>
      <c r="C1" s="3" t="s">
        <v>419</v>
      </c>
      <c r="D1" s="3" t="s">
        <v>420</v>
      </c>
      <c r="E1" s="3" t="s">
        <v>421</v>
      </c>
      <c r="F1" s="3" t="s">
        <v>422</v>
      </c>
      <c r="G1" s="3" t="s">
        <v>423</v>
      </c>
      <c r="H1" s="3" t="s">
        <v>424</v>
      </c>
      <c r="I1" s="3" t="s">
        <v>425</v>
      </c>
      <c r="J1" s="3" t="s">
        <v>426</v>
      </c>
      <c r="K1" s="3" t="s">
        <v>427</v>
      </c>
      <c r="L1" s="3" t="s">
        <v>428</v>
      </c>
    </row>
    <row r="2" spans="1:12" ht="14.25" x14ac:dyDescent="0.2">
      <c r="A2" s="5" t="s">
        <v>429</v>
      </c>
      <c r="B2" t="s">
        <v>96</v>
      </c>
      <c r="C2" s="4">
        <v>60.5</v>
      </c>
      <c r="D2" s="4" t="s">
        <v>430</v>
      </c>
      <c r="E2" s="6" t="s">
        <v>431</v>
      </c>
      <c r="L2" s="4">
        <v>60.5</v>
      </c>
    </row>
    <row r="3" spans="1:12" ht="14.25" x14ac:dyDescent="0.2">
      <c r="A3" s="5" t="s">
        <v>432</v>
      </c>
      <c r="B3" t="s">
        <v>33</v>
      </c>
      <c r="C3" s="4">
        <v>58</v>
      </c>
      <c r="D3" s="4" t="s">
        <v>430</v>
      </c>
      <c r="E3" s="6" t="s">
        <v>431</v>
      </c>
      <c r="L3" s="4">
        <v>58</v>
      </c>
    </row>
    <row r="4" spans="1:12" ht="14.25" x14ac:dyDescent="0.2">
      <c r="A4" s="5" t="s">
        <v>433</v>
      </c>
      <c r="B4" t="s">
        <v>86</v>
      </c>
      <c r="C4" s="4">
        <v>116.8</v>
      </c>
      <c r="D4" s="4" t="s">
        <v>430</v>
      </c>
      <c r="E4" s="6" t="s">
        <v>434</v>
      </c>
      <c r="H4" s="4">
        <v>80.3</v>
      </c>
      <c r="K4" s="4">
        <v>13</v>
      </c>
      <c r="L4" s="4">
        <v>23.5</v>
      </c>
    </row>
    <row r="5" spans="1:12" ht="14.25" x14ac:dyDescent="0.2">
      <c r="A5" s="5" t="s">
        <v>435</v>
      </c>
      <c r="B5" t="s">
        <v>89</v>
      </c>
      <c r="C5" s="4">
        <v>108.51</v>
      </c>
      <c r="D5" s="4" t="s">
        <v>430</v>
      </c>
      <c r="E5" s="6" t="s">
        <v>434</v>
      </c>
      <c r="H5" s="4">
        <v>72.010000000000005</v>
      </c>
      <c r="K5" s="4">
        <v>13</v>
      </c>
      <c r="L5" s="4">
        <v>23.5</v>
      </c>
    </row>
    <row r="6" spans="1:12" ht="14.25" x14ac:dyDescent="0.2">
      <c r="A6" s="5" t="s">
        <v>436</v>
      </c>
      <c r="B6" t="s">
        <v>160</v>
      </c>
      <c r="C6" s="4">
        <v>82</v>
      </c>
      <c r="D6" s="4" t="s">
        <v>430</v>
      </c>
      <c r="E6" s="6" t="s">
        <v>431</v>
      </c>
      <c r="L6" s="4">
        <v>82</v>
      </c>
    </row>
    <row r="7" spans="1:12" ht="14.25" x14ac:dyDescent="0.2">
      <c r="A7" s="5" t="s">
        <v>437</v>
      </c>
      <c r="B7" t="s">
        <v>212</v>
      </c>
      <c r="C7" s="4">
        <v>108</v>
      </c>
      <c r="D7" s="4" t="s">
        <v>438</v>
      </c>
      <c r="E7" s="6" t="s">
        <v>431</v>
      </c>
    </row>
    <row r="8" spans="1:12" ht="14.25" x14ac:dyDescent="0.2">
      <c r="A8" s="5" t="s">
        <v>439</v>
      </c>
      <c r="B8" t="s">
        <v>147</v>
      </c>
      <c r="C8" s="4">
        <v>70</v>
      </c>
      <c r="D8" s="4" t="s">
        <v>438</v>
      </c>
      <c r="E8" s="6" t="s">
        <v>431</v>
      </c>
    </row>
    <row r="9" spans="1:12" ht="14.25" x14ac:dyDescent="0.2">
      <c r="A9" s="5" t="s">
        <v>440</v>
      </c>
      <c r="B9" t="s">
        <v>56</v>
      </c>
      <c r="C9" s="4">
        <v>67</v>
      </c>
      <c r="D9" s="4" t="s">
        <v>430</v>
      </c>
      <c r="E9" s="6" t="s">
        <v>431</v>
      </c>
      <c r="L9" s="4">
        <v>67</v>
      </c>
    </row>
    <row r="10" spans="1:12" ht="14.25" x14ac:dyDescent="0.15">
      <c r="A10" s="7" t="s">
        <v>441</v>
      </c>
      <c r="B10" t="s">
        <v>53</v>
      </c>
      <c r="C10" s="4">
        <v>85</v>
      </c>
      <c r="D10" s="4" t="s">
        <v>438</v>
      </c>
      <c r="E10" s="6" t="s">
        <v>431</v>
      </c>
    </row>
    <row r="11" spans="1:12" ht="14.25" x14ac:dyDescent="0.15">
      <c r="A11" s="7" t="s">
        <v>442</v>
      </c>
      <c r="B11" t="s">
        <v>207</v>
      </c>
      <c r="C11" s="4">
        <v>113</v>
      </c>
      <c r="D11" s="4" t="s">
        <v>438</v>
      </c>
      <c r="E11" s="6" t="s">
        <v>431</v>
      </c>
    </row>
    <row r="12" spans="1:12" ht="14.25" x14ac:dyDescent="0.2">
      <c r="A12" s="5" t="s">
        <v>443</v>
      </c>
      <c r="B12" t="s">
        <v>14</v>
      </c>
      <c r="C12" s="4">
        <v>192.75</v>
      </c>
      <c r="D12" s="4" t="s">
        <v>430</v>
      </c>
      <c r="E12" s="6" t="s">
        <v>434</v>
      </c>
      <c r="H12" s="4">
        <v>90.25</v>
      </c>
      <c r="I12" s="4">
        <v>40</v>
      </c>
      <c r="J12" s="4">
        <v>26</v>
      </c>
      <c r="K12" s="4">
        <v>13</v>
      </c>
      <c r="L12" s="4">
        <v>23.5</v>
      </c>
    </row>
    <row r="13" spans="1:12" ht="14.25" x14ac:dyDescent="0.2">
      <c r="A13" s="5" t="s">
        <v>444</v>
      </c>
      <c r="B13" s="5"/>
      <c r="C13" s="4">
        <v>206.06</v>
      </c>
      <c r="D13" s="4" t="s">
        <v>430</v>
      </c>
      <c r="E13" s="6" t="s">
        <v>434</v>
      </c>
      <c r="H13" s="4">
        <v>89.56</v>
      </c>
      <c r="I13" s="4">
        <v>40</v>
      </c>
      <c r="J13" s="4">
        <v>40</v>
      </c>
      <c r="K13" s="4">
        <v>13</v>
      </c>
      <c r="L13" s="4">
        <v>23.5</v>
      </c>
    </row>
    <row r="14" spans="1:12" ht="14.25" x14ac:dyDescent="0.15">
      <c r="A14" s="4" t="s">
        <v>445</v>
      </c>
      <c r="B14" t="s">
        <v>10</v>
      </c>
      <c r="C14" s="4">
        <v>147.1</v>
      </c>
      <c r="D14" s="4" t="s">
        <v>430</v>
      </c>
      <c r="E14" s="6" t="s">
        <v>434</v>
      </c>
      <c r="G14" s="4">
        <v>45.6</v>
      </c>
      <c r="H14" s="4">
        <v>65</v>
      </c>
      <c r="K14" s="4">
        <v>13</v>
      </c>
      <c r="L14" s="4">
        <v>23.5</v>
      </c>
    </row>
    <row r="15" spans="1:12" ht="14.25" x14ac:dyDescent="0.15">
      <c r="A15" s="6" t="s">
        <v>446</v>
      </c>
      <c r="B15" t="s">
        <v>69</v>
      </c>
      <c r="C15" s="4">
        <v>104.5</v>
      </c>
      <c r="D15" s="4" t="s">
        <v>430</v>
      </c>
      <c r="E15" s="6" t="s">
        <v>431</v>
      </c>
      <c r="L15" s="4">
        <v>104.5</v>
      </c>
    </row>
    <row r="16" spans="1:12" ht="14.25" x14ac:dyDescent="0.15">
      <c r="A16" s="6" t="s">
        <v>447</v>
      </c>
      <c r="B16" t="s">
        <v>66</v>
      </c>
      <c r="C16" s="4">
        <v>101.5</v>
      </c>
      <c r="D16" s="4" t="s">
        <v>430</v>
      </c>
      <c r="E16" s="6" t="s">
        <v>431</v>
      </c>
      <c r="L16" s="4">
        <v>101.5</v>
      </c>
    </row>
    <row r="17" spans="1:12" ht="14.25" x14ac:dyDescent="0.15">
      <c r="A17" s="6" t="s">
        <v>448</v>
      </c>
      <c r="B17" t="s">
        <v>30</v>
      </c>
      <c r="C17" s="4">
        <v>78</v>
      </c>
      <c r="D17" s="4" t="s">
        <v>430</v>
      </c>
      <c r="E17" s="6" t="s">
        <v>431</v>
      </c>
      <c r="L17" s="4">
        <v>78</v>
      </c>
    </row>
    <row r="18" spans="1:12" ht="14.25" x14ac:dyDescent="0.15">
      <c r="A18" s="6" t="s">
        <v>449</v>
      </c>
      <c r="B18" t="s">
        <v>47</v>
      </c>
      <c r="C18" s="4">
        <v>81</v>
      </c>
      <c r="D18" s="4" t="s">
        <v>438</v>
      </c>
      <c r="E18" s="6" t="s">
        <v>431</v>
      </c>
    </row>
    <row r="19" spans="1:12" ht="14.25" x14ac:dyDescent="0.15">
      <c r="A19" s="6" t="s">
        <v>450</v>
      </c>
      <c r="B19" t="s">
        <v>27</v>
      </c>
      <c r="C19" s="4">
        <v>104.5</v>
      </c>
      <c r="D19" s="4" t="s">
        <v>430</v>
      </c>
      <c r="E19" s="6" t="s">
        <v>431</v>
      </c>
      <c r="L19" s="4">
        <v>104.5</v>
      </c>
    </row>
    <row r="20" spans="1:12" ht="14.25" x14ac:dyDescent="0.15">
      <c r="A20" s="6" t="s">
        <v>451</v>
      </c>
      <c r="B20" t="s">
        <v>43</v>
      </c>
      <c r="C20" s="4">
        <v>117</v>
      </c>
      <c r="D20" s="4" t="s">
        <v>438</v>
      </c>
      <c r="E20" s="6" t="s">
        <v>431</v>
      </c>
    </row>
    <row r="21" spans="1:12" ht="14.25" x14ac:dyDescent="0.15">
      <c r="A21" s="6" t="s">
        <v>452</v>
      </c>
      <c r="B21" t="s">
        <v>119</v>
      </c>
      <c r="C21" s="4">
        <v>105</v>
      </c>
      <c r="D21" s="4" t="s">
        <v>430</v>
      </c>
      <c r="E21" s="6" t="s">
        <v>431</v>
      </c>
      <c r="L21" s="4">
        <v>105</v>
      </c>
    </row>
    <row r="22" spans="1:12" ht="14.25" x14ac:dyDescent="0.15">
      <c r="A22" s="6" t="s">
        <v>453</v>
      </c>
      <c r="B22" t="s">
        <v>226</v>
      </c>
      <c r="C22" s="4">
        <v>78</v>
      </c>
      <c r="D22" s="4" t="s">
        <v>430</v>
      </c>
      <c r="E22" s="6" t="s">
        <v>431</v>
      </c>
      <c r="L22" s="4">
        <v>78</v>
      </c>
    </row>
    <row r="23" spans="1:12" ht="14.25" x14ac:dyDescent="0.15">
      <c r="A23" s="6" t="s">
        <v>454</v>
      </c>
      <c r="B23" t="s">
        <v>321</v>
      </c>
      <c r="C23" s="4">
        <v>68</v>
      </c>
      <c r="D23" s="6" t="s">
        <v>455</v>
      </c>
      <c r="E23" s="6" t="s">
        <v>431</v>
      </c>
    </row>
    <row r="24" spans="1:12" ht="14.25" x14ac:dyDescent="0.15">
      <c r="A24" s="6" t="s">
        <v>456</v>
      </c>
      <c r="B24" t="s">
        <v>291</v>
      </c>
      <c r="C24" s="4">
        <v>81</v>
      </c>
      <c r="D24" s="6" t="s">
        <v>457</v>
      </c>
      <c r="E24" s="6" t="s">
        <v>431</v>
      </c>
      <c r="L24" s="4">
        <v>81</v>
      </c>
    </row>
    <row r="25" spans="1:12" ht="14.25" x14ac:dyDescent="0.2">
      <c r="A25" s="5" t="s">
        <v>458</v>
      </c>
      <c r="B25" t="s">
        <v>92</v>
      </c>
      <c r="C25" s="4">
        <f>31*1.09</f>
        <v>33.79</v>
      </c>
      <c r="D25" s="4" t="s">
        <v>459</v>
      </c>
      <c r="E25" s="6" t="s">
        <v>431</v>
      </c>
    </row>
    <row r="26" spans="1:12" ht="14.25" x14ac:dyDescent="0.15">
      <c r="A26" s="4" t="s">
        <v>460</v>
      </c>
      <c r="B26" t="s">
        <v>79</v>
      </c>
      <c r="C26" s="4">
        <f>20*1.09</f>
        <v>21.8</v>
      </c>
      <c r="D26" s="4" t="s">
        <v>459</v>
      </c>
      <c r="E26" s="6" t="s">
        <v>431</v>
      </c>
    </row>
    <row r="27" spans="1:12" ht="14.25" x14ac:dyDescent="0.15">
      <c r="A27" s="4" t="s">
        <v>461</v>
      </c>
      <c r="B27" t="s">
        <v>82</v>
      </c>
      <c r="C27" s="4">
        <f>20*1.09</f>
        <v>21.8</v>
      </c>
      <c r="D27" s="4" t="s">
        <v>459</v>
      </c>
      <c r="E27" s="6" t="s">
        <v>431</v>
      </c>
    </row>
    <row r="28" spans="1:12" ht="14.25" x14ac:dyDescent="0.15">
      <c r="A28" s="6" t="s">
        <v>462</v>
      </c>
      <c r="B28" t="s">
        <v>21</v>
      </c>
      <c r="C28" s="4">
        <f>9.5*1.09</f>
        <v>10.355</v>
      </c>
      <c r="D28" s="4" t="s">
        <v>459</v>
      </c>
      <c r="E28" s="6" t="s">
        <v>431</v>
      </c>
    </row>
    <row r="29" spans="1:12" ht="14.25" x14ac:dyDescent="0.15">
      <c r="A29" s="4" t="s">
        <v>463</v>
      </c>
      <c r="B29" t="s">
        <v>40</v>
      </c>
      <c r="C29" s="4">
        <f>9.5*1.09</f>
        <v>10.355</v>
      </c>
      <c r="D29" s="4" t="s">
        <v>459</v>
      </c>
      <c r="E29" s="6" t="s">
        <v>431</v>
      </c>
    </row>
    <row r="30" spans="1:12" ht="14.25" x14ac:dyDescent="0.15">
      <c r="A30" s="4" t="s">
        <v>464</v>
      </c>
      <c r="B30" t="s">
        <v>24</v>
      </c>
      <c r="C30" s="4">
        <f>31*1.09</f>
        <v>33.79</v>
      </c>
      <c r="D30" s="4" t="s">
        <v>459</v>
      </c>
      <c r="E30" s="6" t="s">
        <v>431</v>
      </c>
    </row>
    <row r="31" spans="1:12" ht="14.25" x14ac:dyDescent="0.15">
      <c r="A31" s="4" t="s">
        <v>465</v>
      </c>
      <c r="B31" t="s">
        <v>62</v>
      </c>
      <c r="C31" s="4">
        <f>20*1.09</f>
        <v>21.8</v>
      </c>
      <c r="D31" s="4" t="s">
        <v>459</v>
      </c>
      <c r="E31" s="6" t="s">
        <v>431</v>
      </c>
    </row>
    <row r="32" spans="1:12" ht="14.25" x14ac:dyDescent="0.15">
      <c r="A32" s="4" t="s">
        <v>466</v>
      </c>
      <c r="B32" t="s">
        <v>17</v>
      </c>
      <c r="C32" s="4">
        <f>20*1.09</f>
        <v>21.8</v>
      </c>
      <c r="D32" s="4" t="s">
        <v>459</v>
      </c>
      <c r="E32" s="6" t="s">
        <v>431</v>
      </c>
    </row>
    <row r="33" spans="1:12" ht="14.25" x14ac:dyDescent="0.15">
      <c r="A33" s="6" t="s">
        <v>467</v>
      </c>
      <c r="B33" t="s">
        <v>75</v>
      </c>
      <c r="C33" s="4">
        <f>20*1.09</f>
        <v>21.8</v>
      </c>
      <c r="D33" s="4" t="s">
        <v>459</v>
      </c>
      <c r="E33" s="6" t="s">
        <v>431</v>
      </c>
    </row>
    <row r="34" spans="1:12" ht="14.25" x14ac:dyDescent="0.15">
      <c r="A34" s="6" t="s">
        <v>468</v>
      </c>
      <c r="B34" t="s">
        <v>36</v>
      </c>
      <c r="C34" s="4">
        <f>9.5*1.09</f>
        <v>10.355</v>
      </c>
      <c r="D34" s="4" t="s">
        <v>459</v>
      </c>
      <c r="E34" s="6" t="s">
        <v>431</v>
      </c>
    </row>
    <row r="35" spans="1:12" ht="14.25" x14ac:dyDescent="0.15">
      <c r="A35" s="4" t="s">
        <v>469</v>
      </c>
      <c r="B35" t="s">
        <v>59</v>
      </c>
      <c r="C35" s="4">
        <f>9.5*1.09</f>
        <v>10.355</v>
      </c>
      <c r="D35" s="4" t="s">
        <v>459</v>
      </c>
      <c r="E35" s="6" t="s">
        <v>431</v>
      </c>
    </row>
    <row r="36" spans="1:12" ht="14.25" x14ac:dyDescent="0.15">
      <c r="A36" s="4" t="s">
        <v>470</v>
      </c>
      <c r="B36" t="s">
        <v>72</v>
      </c>
      <c r="C36" s="4">
        <f>9.5*1.09</f>
        <v>10.355</v>
      </c>
      <c r="D36" s="4" t="s">
        <v>459</v>
      </c>
      <c r="E36" s="6" t="s">
        <v>431</v>
      </c>
    </row>
    <row r="37" spans="1:12" ht="14.25" x14ac:dyDescent="0.15">
      <c r="A37" s="6" t="s">
        <v>471</v>
      </c>
      <c r="B37" t="s">
        <v>275</v>
      </c>
      <c r="C37" s="4">
        <v>143.91999999999999</v>
      </c>
      <c r="D37" s="6" t="s">
        <v>457</v>
      </c>
      <c r="E37" s="6" t="s">
        <v>434</v>
      </c>
      <c r="H37" s="4">
        <v>107.42</v>
      </c>
      <c r="K37" s="4">
        <v>13</v>
      </c>
      <c r="L37" s="4">
        <v>23.5</v>
      </c>
    </row>
    <row r="38" spans="1:12" ht="14.25" x14ac:dyDescent="0.15">
      <c r="A38" s="6" t="s">
        <v>472</v>
      </c>
      <c r="B38" t="s">
        <v>294</v>
      </c>
      <c r="C38" s="4">
        <v>175.5</v>
      </c>
      <c r="D38" s="6" t="s">
        <v>457</v>
      </c>
      <c r="E38" s="6" t="s">
        <v>434</v>
      </c>
      <c r="F38" s="4">
        <v>36</v>
      </c>
      <c r="G38" s="4">
        <v>38</v>
      </c>
      <c r="H38" s="4">
        <v>65</v>
      </c>
      <c r="K38" s="4">
        <v>13</v>
      </c>
      <c r="L38" s="4">
        <v>23.5</v>
      </c>
    </row>
    <row r="39" spans="1:12" ht="14.25" x14ac:dyDescent="0.15">
      <c r="A39" s="4" t="s">
        <v>473</v>
      </c>
      <c r="B39" t="s">
        <v>264</v>
      </c>
      <c r="C39" s="4">
        <v>114.09</v>
      </c>
      <c r="D39" s="6" t="s">
        <v>457</v>
      </c>
      <c r="E39" s="6" t="s">
        <v>431</v>
      </c>
      <c r="L39" s="4">
        <v>114.09</v>
      </c>
    </row>
    <row r="40" spans="1:12" ht="14.25" x14ac:dyDescent="0.15">
      <c r="A40" s="4" t="s">
        <v>474</v>
      </c>
      <c r="B40" t="s">
        <v>50</v>
      </c>
      <c r="C40" s="4">
        <v>79</v>
      </c>
      <c r="D40" s="6" t="s">
        <v>475</v>
      </c>
      <c r="E40" s="6" t="s">
        <v>476</v>
      </c>
    </row>
    <row r="41" spans="1:12" ht="14.25" x14ac:dyDescent="0.15">
      <c r="A41" s="4" t="s">
        <v>477</v>
      </c>
      <c r="B41" t="s">
        <v>275</v>
      </c>
      <c r="C41" s="4">
        <v>191.5</v>
      </c>
      <c r="D41" s="6" t="s">
        <v>478</v>
      </c>
      <c r="E41" s="6" t="s">
        <v>479</v>
      </c>
      <c r="F41" s="4">
        <v>52</v>
      </c>
      <c r="G41" s="4">
        <v>38</v>
      </c>
      <c r="H41" s="4">
        <v>65</v>
      </c>
      <c r="K41" s="4">
        <v>13</v>
      </c>
      <c r="L41" s="4">
        <v>23.5</v>
      </c>
    </row>
    <row r="42" spans="1:12" ht="14.25" x14ac:dyDescent="0.2">
      <c r="A42" s="5" t="s">
        <v>480</v>
      </c>
      <c r="B42" t="s">
        <v>89</v>
      </c>
      <c r="C42" s="4">
        <v>105.01</v>
      </c>
      <c r="D42" s="4" t="s">
        <v>430</v>
      </c>
      <c r="E42" s="6" t="s">
        <v>434</v>
      </c>
      <c r="H42" s="4">
        <v>72.010000000000005</v>
      </c>
      <c r="K42" s="4">
        <v>14</v>
      </c>
      <c r="L42" s="4">
        <v>19</v>
      </c>
    </row>
    <row r="43" spans="1:12" ht="14.25" x14ac:dyDescent="0.15">
      <c r="A43" s="4" t="s">
        <v>481</v>
      </c>
      <c r="B43" t="s">
        <v>275</v>
      </c>
      <c r="C43" s="4">
        <v>140.41999999999999</v>
      </c>
      <c r="D43" s="6" t="s">
        <v>457</v>
      </c>
      <c r="E43" s="6" t="s">
        <v>434</v>
      </c>
      <c r="H43" s="4">
        <v>107.42</v>
      </c>
      <c r="K43" s="4">
        <v>14</v>
      </c>
      <c r="L43" s="4">
        <v>19</v>
      </c>
    </row>
    <row r="44" spans="1:12" ht="14.25" x14ac:dyDescent="0.15">
      <c r="A44" s="4" t="s">
        <v>482</v>
      </c>
      <c r="B44" t="s">
        <v>86</v>
      </c>
      <c r="C44" s="4">
        <v>113.3</v>
      </c>
      <c r="D44" s="4" t="s">
        <v>430</v>
      </c>
      <c r="E44" s="6" t="s">
        <v>434</v>
      </c>
      <c r="H44" s="4">
        <v>80.3</v>
      </c>
      <c r="K44" s="4">
        <v>14</v>
      </c>
      <c r="L44" s="4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明细</vt:lpstr>
      <vt:lpstr>明细 (2)</vt:lpstr>
      <vt:lpstr>运费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杨光</cp:lastModifiedBy>
  <dcterms:created xsi:type="dcterms:W3CDTF">2024-12-27T08:05:41Z</dcterms:created>
  <dcterms:modified xsi:type="dcterms:W3CDTF">2025-01-02T01:24:02Z</dcterms:modified>
</cp:coreProperties>
</file>